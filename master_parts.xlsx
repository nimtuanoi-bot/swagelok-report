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PHAPHON-PCRY\Desktop\Test AI\"/>
    </mc:Choice>
  </mc:AlternateContent>
  <xr:revisionPtr revIDLastSave="0" documentId="13_ncr:1_{44ED942E-9811-43EC-9896-03DC733DB9A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ressure &amp; Leakage Test" sheetId="4" state="hidden" r:id="rId1"/>
    <sheet name="Part Number Data" sheetId="2" r:id="rId2"/>
    <sheet name="Cal Sheet" sheetId="5" state="hidden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3" i="5"/>
  <c r="AC11" i="4" l="1"/>
  <c r="AB10" i="4"/>
  <c r="AH13" i="4"/>
  <c r="AT13" i="4"/>
  <c r="AT12" i="4"/>
  <c r="AT11" i="4"/>
  <c r="AB7" i="4"/>
  <c r="F6" i="4"/>
  <c r="I9" i="4"/>
  <c r="I10" i="4"/>
  <c r="I11" i="4"/>
  <c r="I12" i="4"/>
  <c r="I13" i="4"/>
  <c r="I8" i="4"/>
  <c r="I7" i="4"/>
  <c r="AH32" i="4"/>
  <c r="AH33" i="4"/>
  <c r="AH34" i="4"/>
  <c r="AH35" i="4"/>
  <c r="AH36" i="4"/>
  <c r="AH37" i="4"/>
  <c r="AH31" i="4"/>
  <c r="AE32" i="4"/>
  <c r="AE33" i="4"/>
  <c r="AE34" i="4"/>
  <c r="AE35" i="4"/>
  <c r="AE36" i="4"/>
  <c r="AE37" i="4"/>
  <c r="AE31" i="4"/>
  <c r="AB34" i="4"/>
  <c r="AB35" i="4"/>
  <c r="AB36" i="4"/>
  <c r="AB37" i="4"/>
  <c r="AB33" i="4"/>
  <c r="AB32" i="4"/>
  <c r="AB31" i="4"/>
  <c r="U37" i="4"/>
  <c r="U36" i="4"/>
  <c r="U35" i="4"/>
  <c r="U34" i="4"/>
  <c r="U33" i="4"/>
  <c r="U32" i="4"/>
  <c r="U31" i="4"/>
  <c r="P4" i="2" l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L2" i="5" l="1"/>
  <c r="L3" i="5" s="1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</calcChain>
</file>

<file path=xl/sharedStrings.xml><?xml version="1.0" encoding="utf-8"?>
<sst xmlns="http://schemas.openxmlformats.org/spreadsheetml/2006/main" count="243" uniqueCount="184">
  <si>
    <t>Document No :</t>
  </si>
  <si>
    <t>Revise :</t>
  </si>
  <si>
    <t>Issue Date :</t>
  </si>
  <si>
    <t>Project No :</t>
  </si>
  <si>
    <t>Tag No.</t>
  </si>
  <si>
    <t>Part Number ;</t>
  </si>
  <si>
    <t>bar</t>
  </si>
  <si>
    <t>C</t>
  </si>
  <si>
    <t>Corrosion</t>
  </si>
  <si>
    <t>Distorsion</t>
  </si>
  <si>
    <t>Swelling</t>
  </si>
  <si>
    <t>Cracking</t>
  </si>
  <si>
    <t>Scratchs</t>
  </si>
  <si>
    <t>mm</t>
  </si>
  <si>
    <t>Test Pressure :</t>
  </si>
  <si>
    <t>Test Fluid :</t>
  </si>
  <si>
    <t>Test Duration :</t>
  </si>
  <si>
    <t>mins</t>
  </si>
  <si>
    <t>Status</t>
  </si>
  <si>
    <t>Rate</t>
  </si>
  <si>
    <t>No Leak</t>
  </si>
  <si>
    <t>Inspected by</t>
  </si>
  <si>
    <t>Reviewed by</t>
  </si>
  <si>
    <t>Approved by</t>
  </si>
  <si>
    <t>(</t>
  </si>
  <si>
    <t>)</t>
  </si>
  <si>
    <t>/</t>
  </si>
  <si>
    <t>Test Condition</t>
  </si>
  <si>
    <t>ea</t>
  </si>
  <si>
    <t>Customer :</t>
  </si>
  <si>
    <t>Test Date :</t>
  </si>
  <si>
    <t>Customer Working Pressure :</t>
  </si>
  <si>
    <t>Recommendation</t>
  </si>
  <si>
    <t>No</t>
  </si>
  <si>
    <t>F</t>
  </si>
  <si>
    <t>Step Sequence</t>
  </si>
  <si>
    <t>P (bar)</t>
  </si>
  <si>
    <t>T (mins)</t>
  </si>
  <si>
    <t>Start Up</t>
  </si>
  <si>
    <t>1st Step</t>
  </si>
  <si>
    <t>2nd Step</t>
  </si>
  <si>
    <t>3rd Step</t>
  </si>
  <si>
    <t>Pressure &amp; Leakage Test</t>
  </si>
  <si>
    <t>JJ Group Co., Ltd.</t>
  </si>
  <si>
    <t>P (psi)</t>
  </si>
  <si>
    <t>Increase to</t>
  </si>
  <si>
    <t>Hold</t>
  </si>
  <si>
    <t>Decrease to</t>
  </si>
  <si>
    <t>4th Step</t>
  </si>
  <si>
    <t>Finished</t>
  </si>
  <si>
    <t>Components Leak Test</t>
  </si>
  <si>
    <t>Location</t>
  </si>
  <si>
    <t>Passed</t>
  </si>
  <si>
    <t>Change Spare Part</t>
  </si>
  <si>
    <t>Re-new Item</t>
  </si>
  <si>
    <t>dd</t>
  </si>
  <si>
    <t>yy</t>
  </si>
  <si>
    <t>Cylinder P/N</t>
  </si>
  <si>
    <t>Needle Valve w/t Rupture Disc P/N</t>
  </si>
  <si>
    <t>Visual</t>
  </si>
  <si>
    <t>Level</t>
  </si>
  <si>
    <t>Unit P</t>
  </si>
  <si>
    <t>Unit Temp</t>
  </si>
  <si>
    <t>Unit C</t>
  </si>
  <si>
    <t>Choice</t>
  </si>
  <si>
    <t>Time</t>
  </si>
  <si>
    <t>Flow</t>
  </si>
  <si>
    <t>Test Fluid</t>
  </si>
  <si>
    <t>Leak</t>
  </si>
  <si>
    <t>Up</t>
  </si>
  <si>
    <t>Value T</t>
  </si>
  <si>
    <t>Value P</t>
  </si>
  <si>
    <t>Replace Part</t>
  </si>
  <si>
    <t>Tag</t>
  </si>
  <si>
    <t>Option</t>
  </si>
  <si>
    <t>304L-05SF4-150</t>
  </si>
  <si>
    <t>SS-16DKM4F4-2</t>
  </si>
  <si>
    <t>psi</t>
  </si>
  <si>
    <t>%</t>
  </si>
  <si>
    <t>Yes</t>
  </si>
  <si>
    <t>sec</t>
  </si>
  <si>
    <t>L/s</t>
  </si>
  <si>
    <t>Water (Hydro)</t>
  </si>
  <si>
    <t>Good Condition</t>
  </si>
  <si>
    <t>Laser Tag</t>
  </si>
  <si>
    <t>-T</t>
  </si>
  <si>
    <t>304L-05SF4-300</t>
  </si>
  <si>
    <t>SS-16DKM4F4-A-2</t>
  </si>
  <si>
    <t>Minor</t>
  </si>
  <si>
    <t>ksi</t>
  </si>
  <si>
    <t>% (V/V)</t>
  </si>
  <si>
    <t>L/min</t>
  </si>
  <si>
    <t>Nitrogen</t>
  </si>
  <si>
    <t>Considerate before using</t>
  </si>
  <si>
    <t>-EP</t>
  </si>
  <si>
    <t>304L-05SF4-500</t>
  </si>
  <si>
    <t>SS-16DKM8-F4-A-2</t>
  </si>
  <si>
    <t>Major</t>
  </si>
  <si>
    <t>mbar</t>
  </si>
  <si>
    <t>K</t>
  </si>
  <si>
    <t>% (W/V)</t>
  </si>
  <si>
    <t>hrs</t>
  </si>
  <si>
    <t>L/hr</t>
  </si>
  <si>
    <t>Helium</t>
  </si>
  <si>
    <t>Inlet</t>
  </si>
  <si>
    <t>Rejected</t>
  </si>
  <si>
    <t>-RS</t>
  </si>
  <si>
    <t>304L-HDF2-40</t>
  </si>
  <si>
    <t>SS-16DKM4-F4-1</t>
  </si>
  <si>
    <t>ppm</t>
  </si>
  <si>
    <t>days</t>
  </si>
  <si>
    <t>L/day</t>
  </si>
  <si>
    <t>Argon</t>
  </si>
  <si>
    <t>Outlet</t>
  </si>
  <si>
    <t>Re-Taping</t>
  </si>
  <si>
    <t>-C</t>
  </si>
  <si>
    <t>304L-HDF4-50</t>
  </si>
  <si>
    <t>SS-16DKM4-F4-A-1</t>
  </si>
  <si>
    <t>kPa</t>
  </si>
  <si>
    <t>ppb</t>
  </si>
  <si>
    <t>weeks</t>
  </si>
  <si>
    <r>
      <t>ft</t>
    </r>
    <r>
      <rPr>
        <vertAlign val="superscript"/>
        <sz val="10"/>
        <rFont val="Century Gothic"/>
        <family val="2"/>
      </rPr>
      <t>3</t>
    </r>
    <r>
      <rPr>
        <sz val="10"/>
        <rFont val="Century Gothic"/>
        <family val="2"/>
      </rPr>
      <t>/s</t>
    </r>
  </si>
  <si>
    <t>In/Out</t>
  </si>
  <si>
    <t>Check Parts/Components</t>
  </si>
  <si>
    <t>-H</t>
  </si>
  <si>
    <t>304L-HDF4-75</t>
  </si>
  <si>
    <t>SS-16DKM8-F4-A-1</t>
  </si>
  <si>
    <t>MPa</t>
  </si>
  <si>
    <t>months</t>
  </si>
  <si>
    <t>ft3/min</t>
  </si>
  <si>
    <t>Passing</t>
  </si>
  <si>
    <t>-LE</t>
  </si>
  <si>
    <t>304L-HDF4-150</t>
  </si>
  <si>
    <r>
      <t>kg/cm</t>
    </r>
    <r>
      <rPr>
        <vertAlign val="superscript"/>
        <sz val="10"/>
        <rFont val="Century Gothic"/>
        <family val="2"/>
      </rPr>
      <t>2</t>
    </r>
  </si>
  <si>
    <t>years</t>
  </si>
  <si>
    <t>ft3/hr</t>
  </si>
  <si>
    <t>-C-H</t>
  </si>
  <si>
    <t>304L-HDF4-300</t>
  </si>
  <si>
    <t>mm.Hg</t>
  </si>
  <si>
    <t>ft3/day</t>
  </si>
  <si>
    <t>-C-H-T</t>
  </si>
  <si>
    <t>304L-HDF4-400</t>
  </si>
  <si>
    <r>
      <t>mm.H</t>
    </r>
    <r>
      <rPr>
        <vertAlign val="subscript"/>
        <sz val="10"/>
        <rFont val="Century Gothic"/>
        <family val="2"/>
      </rPr>
      <t>2</t>
    </r>
    <r>
      <rPr>
        <sz val="10"/>
        <rFont val="Century Gothic"/>
        <family val="2"/>
      </rPr>
      <t>O</t>
    </r>
  </si>
  <si>
    <t>cm3/s</t>
  </si>
  <si>
    <t>-C-T</t>
  </si>
  <si>
    <t>304L-HDF4-500</t>
  </si>
  <si>
    <r>
      <t>in.H</t>
    </r>
    <r>
      <rPr>
        <vertAlign val="subscript"/>
        <sz val="10"/>
        <rFont val="Century Gothic"/>
        <family val="2"/>
      </rPr>
      <t>2</t>
    </r>
    <r>
      <rPr>
        <sz val="10"/>
        <rFont val="Century Gothic"/>
        <family val="2"/>
      </rPr>
      <t>O</t>
    </r>
  </si>
  <si>
    <t>cm3/min</t>
  </si>
  <si>
    <t>-H-T</t>
  </si>
  <si>
    <t>304L-HDF4-1000</t>
  </si>
  <si>
    <t>cm3/hr</t>
  </si>
  <si>
    <t>304L-HDF8-1000</t>
  </si>
  <si>
    <t>cm3/day</t>
  </si>
  <si>
    <t>-EP-T</t>
  </si>
  <si>
    <t>304L-HDF4-2250</t>
  </si>
  <si>
    <t>-12457</t>
  </si>
  <si>
    <t>304L-HDF8-2250</t>
  </si>
  <si>
    <t>304L-HDF4-1GAL</t>
  </si>
  <si>
    <t>304L-HDF8-1GAL</t>
  </si>
  <si>
    <t>316L-HDF4-150</t>
  </si>
  <si>
    <t>316L-HDF4-300</t>
  </si>
  <si>
    <t>316L-HDF4-500</t>
  </si>
  <si>
    <t>316L-50DF4-150</t>
  </si>
  <si>
    <t>316L-50DF4-300</t>
  </si>
  <si>
    <t>316L-50DF4-500</t>
  </si>
  <si>
    <t>M-HDF4-150</t>
  </si>
  <si>
    <t>M-HDF4-300</t>
  </si>
  <si>
    <t>M-HDF4-500</t>
  </si>
  <si>
    <t>N/A (HOKE)</t>
  </si>
  <si>
    <t>N/A (PARKER)</t>
  </si>
  <si>
    <t>N/A (HY-LOK)</t>
  </si>
  <si>
    <t>T (min)</t>
  </si>
  <si>
    <t>Time acc</t>
  </si>
  <si>
    <t>Step</t>
  </si>
  <si>
    <r>
      <t>1</t>
    </r>
    <r>
      <rPr>
        <b/>
        <vertAlign val="superscript"/>
        <sz val="10"/>
        <rFont val="Century Gothic"/>
        <family val="2"/>
      </rPr>
      <t xml:space="preserve">st </t>
    </r>
    <r>
      <rPr>
        <b/>
        <sz val="10"/>
        <rFont val="Century Gothic"/>
        <family val="2"/>
      </rPr>
      <t>Step</t>
    </r>
  </si>
  <si>
    <t>P change</t>
  </si>
  <si>
    <r>
      <t>1</t>
    </r>
    <r>
      <rPr>
        <b/>
        <vertAlign val="superscript"/>
        <sz val="10"/>
        <rFont val="Century Gothic"/>
        <family val="2"/>
      </rPr>
      <t>st</t>
    </r>
    <r>
      <rPr>
        <b/>
        <sz val="10"/>
        <rFont val="Century Gothic"/>
        <family val="2"/>
      </rPr>
      <t xml:space="preserve"> Step</t>
    </r>
  </si>
  <si>
    <r>
      <t>2</t>
    </r>
    <r>
      <rPr>
        <b/>
        <vertAlign val="superscript"/>
        <sz val="10"/>
        <rFont val="Century Gothic"/>
        <family val="2"/>
      </rPr>
      <t>nd</t>
    </r>
    <r>
      <rPr>
        <b/>
        <sz val="10"/>
        <rFont val="Century Gothic"/>
        <family val="2"/>
      </rPr>
      <t xml:space="preserve"> Step</t>
    </r>
  </si>
  <si>
    <r>
      <t>3</t>
    </r>
    <r>
      <rPr>
        <b/>
        <vertAlign val="superscript"/>
        <sz val="10"/>
        <rFont val="Century Gothic"/>
        <family val="2"/>
      </rPr>
      <t>rd</t>
    </r>
    <r>
      <rPr>
        <b/>
        <sz val="10"/>
        <rFont val="Century Gothic"/>
        <family val="2"/>
      </rPr>
      <t xml:space="preserve"> Step</t>
    </r>
  </si>
  <si>
    <r>
      <t>4</t>
    </r>
    <r>
      <rPr>
        <b/>
        <vertAlign val="superscript"/>
        <sz val="10"/>
        <rFont val="Century Gothic"/>
        <family val="2"/>
      </rPr>
      <t>th</t>
    </r>
    <r>
      <rPr>
        <b/>
        <sz val="10"/>
        <rFont val="Century Gothic"/>
        <family val="2"/>
      </rPr>
      <t xml:space="preserve"> Step</t>
    </r>
  </si>
  <si>
    <r>
      <t>3</t>
    </r>
    <r>
      <rPr>
        <b/>
        <vertAlign val="superscript"/>
        <sz val="10"/>
        <rFont val="Century Gothic"/>
        <family val="2"/>
      </rPr>
      <t xml:space="preserve">rd </t>
    </r>
    <r>
      <rPr>
        <b/>
        <sz val="10"/>
        <rFont val="Century Gothic"/>
        <family val="2"/>
      </rPr>
      <t>Step</t>
    </r>
  </si>
  <si>
    <r>
      <t>5</t>
    </r>
    <r>
      <rPr>
        <b/>
        <vertAlign val="superscript"/>
        <sz val="10"/>
        <rFont val="Century Gothic"/>
        <family val="2"/>
      </rPr>
      <t>th</t>
    </r>
    <r>
      <rPr>
        <b/>
        <sz val="10"/>
        <rFont val="Century Gothic"/>
        <family val="2"/>
      </rPr>
      <t xml:space="preserve"> Step</t>
    </r>
  </si>
  <si>
    <r>
      <t>6</t>
    </r>
    <r>
      <rPr>
        <b/>
        <vertAlign val="superscript"/>
        <sz val="10"/>
        <rFont val="Century Gothic"/>
        <family val="2"/>
      </rPr>
      <t>th</t>
    </r>
    <r>
      <rPr>
        <b/>
        <sz val="10"/>
        <rFont val="Century Gothic"/>
        <family val="2"/>
      </rPr>
      <t xml:space="preserve"> Step</t>
    </r>
  </si>
  <si>
    <r>
      <t>7</t>
    </r>
    <r>
      <rPr>
        <b/>
        <vertAlign val="superscript"/>
        <sz val="10"/>
        <rFont val="Century Gothic"/>
        <family val="2"/>
      </rPr>
      <t>th</t>
    </r>
    <r>
      <rPr>
        <b/>
        <sz val="10"/>
        <rFont val="Century Gothic"/>
        <family val="2"/>
      </rPr>
      <t xml:space="preserve"> Step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</si>
</sst>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4"/>
      <name val="DilleniaUPC"/>
      <family val="1"/>
      <charset val="222"/>
    </font>
    <font>
      <sz val="14"/>
      <name val="AngsanaUPC"/>
      <family val="1"/>
    </font>
    <font>
      <b/>
      <sz val="15"/>
      <name val="DilleniaUPC"/>
      <family val="1"/>
      <charset val="222"/>
    </font>
    <font>
      <sz val="15"/>
      <name val="DilleniaUPC"/>
      <family val="1"/>
      <charset val="222"/>
    </font>
    <font>
      <sz val="16"/>
      <name val="DilleniaUPC"/>
      <family val="1"/>
      <charset val="222"/>
    </font>
    <font>
      <sz val="14"/>
      <name val="DilleniaUPC"/>
      <family val="1"/>
      <charset val="222"/>
    </font>
    <font>
      <b/>
      <sz val="14"/>
      <name val="DilleniaUPC"/>
      <family val="1"/>
      <charset val="222"/>
    </font>
    <font>
      <b/>
      <sz val="16"/>
      <name val="DilleniaUPC"/>
      <family val="1"/>
      <charset val="222"/>
    </font>
    <font>
      <b/>
      <sz val="14"/>
      <name val="DilleniaUPC"/>
      <family val="1"/>
    </font>
    <font>
      <b/>
      <i/>
      <sz val="8"/>
      <name val="DilleniaUPC"/>
      <family val="1"/>
      <charset val="222"/>
    </font>
    <font>
      <sz val="16"/>
      <name val="MS Sans Serif"/>
      <family val="2"/>
      <charset val="222"/>
    </font>
    <font>
      <b/>
      <sz val="10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DilleniaUPC"/>
      <family val="1"/>
      <charset val="222"/>
    </font>
    <font>
      <vertAlign val="superscript"/>
      <sz val="10"/>
      <name val="Century Gothic"/>
      <family val="2"/>
    </font>
    <font>
      <vertAlign val="subscript"/>
      <sz val="10"/>
      <name val="Century Gothic"/>
      <family val="2"/>
    </font>
    <font>
      <b/>
      <sz val="11"/>
      <name val="Century Gothic"/>
      <family val="2"/>
    </font>
    <font>
      <b/>
      <sz val="20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14"/>
      <name val="Century Gothic"/>
      <family val="2"/>
    </font>
    <font>
      <b/>
      <vertAlign val="superscript"/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78">
    <xf numFmtId="0" fontId="0" fillId="0" borderId="0" xfId="0">
      <alignment vertical="center"/>
    </xf>
    <xf numFmtId="0" fontId="2" fillId="0" borderId="1" xfId="2" applyFont="1" applyBorder="1" applyAlignment="1">
      <alignment horizontal="left" vertical="top"/>
    </xf>
    <xf numFmtId="0" fontId="2" fillId="0" borderId="2" xfId="2" applyFont="1" applyBorder="1" applyAlignment="1">
      <alignment horizontal="left" vertical="top"/>
    </xf>
    <xf numFmtId="0" fontId="3" fillId="0" borderId="2" xfId="2" applyFont="1" applyBorder="1" applyAlignment="1">
      <alignment horizontal="left" vertical="top"/>
    </xf>
    <xf numFmtId="0" fontId="4" fillId="0" borderId="2" xfId="2" applyFont="1" applyBorder="1" applyAlignment="1">
      <alignment horizontal="left" vertical="top"/>
    </xf>
    <xf numFmtId="0" fontId="5" fillId="0" borderId="2" xfId="2" applyFont="1" applyBorder="1" applyAlignment="1">
      <alignment horizontal="left" vertical="top"/>
    </xf>
    <xf numFmtId="0" fontId="4" fillId="0" borderId="0" xfId="2" applyFont="1" applyAlignment="1">
      <alignment vertical="top"/>
    </xf>
    <xf numFmtId="0" fontId="2" fillId="0" borderId="3" xfId="2" applyFont="1" applyBorder="1" applyAlignment="1">
      <alignment horizontal="left" vertical="top"/>
    </xf>
    <xf numFmtId="0" fontId="5" fillId="0" borderId="0" xfId="2" applyFont="1" applyAlignment="1">
      <alignment horizontal="left" vertical="top"/>
    </xf>
    <xf numFmtId="0" fontId="2" fillId="0" borderId="4" xfId="2" applyFont="1" applyBorder="1" applyAlignment="1">
      <alignment horizontal="left" vertical="top"/>
    </xf>
    <xf numFmtId="0" fontId="2" fillId="0" borderId="5" xfId="2" applyFont="1" applyBorder="1" applyAlignment="1">
      <alignment horizontal="left" vertical="top"/>
    </xf>
    <xf numFmtId="0" fontId="3" fillId="0" borderId="5" xfId="2" applyFont="1" applyBorder="1" applyAlignment="1">
      <alignment horizontal="left" vertical="top"/>
    </xf>
    <xf numFmtId="49" fontId="2" fillId="0" borderId="5" xfId="2" applyNumberFormat="1" applyFont="1" applyBorder="1" applyAlignment="1">
      <alignment horizontal="left" vertical="top"/>
    </xf>
    <xf numFmtId="0" fontId="7" fillId="0" borderId="5" xfId="2" applyFont="1" applyBorder="1" applyAlignment="1">
      <alignment horizontal="left" vertical="top"/>
    </xf>
    <xf numFmtId="0" fontId="4" fillId="0" borderId="5" xfId="2" applyFont="1" applyBorder="1" applyAlignment="1">
      <alignment horizontal="left" vertical="top"/>
    </xf>
    <xf numFmtId="0" fontId="4" fillId="0" borderId="3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3" xfId="2" applyFont="1" applyBorder="1" applyAlignment="1">
      <alignment vertical="top"/>
    </xf>
    <xf numFmtId="0" fontId="5" fillId="0" borderId="0" xfId="2" applyFont="1" applyAlignment="1">
      <alignment vertical="top"/>
    </xf>
    <xf numFmtId="0" fontId="5" fillId="0" borderId="3" xfId="2" applyFont="1" applyBorder="1" applyAlignment="1">
      <alignment vertical="top"/>
    </xf>
    <xf numFmtId="0" fontId="5" fillId="0" borderId="3" xfId="2" applyFont="1" applyBorder="1" applyAlignment="1">
      <alignment vertical="center"/>
    </xf>
    <xf numFmtId="0" fontId="5" fillId="0" borderId="0" xfId="2" applyFont="1" applyAlignment="1">
      <alignment horizontal="left" vertical="center"/>
    </xf>
    <xf numFmtId="0" fontId="5" fillId="0" borderId="3" xfId="2" applyFont="1" applyBorder="1" applyAlignment="1">
      <alignment horizontal="left" vertical="top"/>
    </xf>
    <xf numFmtId="0" fontId="5" fillId="0" borderId="0" xfId="1" applyFont="1" applyAlignment="1">
      <alignment vertical="center"/>
    </xf>
    <xf numFmtId="0" fontId="10" fillId="0" borderId="0" xfId="2" applyFont="1" applyAlignment="1">
      <alignment vertical="center"/>
    </xf>
    <xf numFmtId="0" fontId="12" fillId="0" borderId="3" xfId="2" applyFont="1" applyBorder="1" applyAlignment="1">
      <alignment vertical="top"/>
    </xf>
    <xf numFmtId="0" fontId="13" fillId="0" borderId="6" xfId="2" applyFont="1" applyBorder="1" applyAlignment="1">
      <alignment vertical="center"/>
    </xf>
    <xf numFmtId="0" fontId="14" fillId="0" borderId="0" xfId="2" applyFont="1" applyAlignment="1">
      <alignment vertical="center"/>
    </xf>
    <xf numFmtId="0" fontId="12" fillId="0" borderId="0" xfId="2" applyFont="1"/>
    <xf numFmtId="0" fontId="13" fillId="0" borderId="3" xfId="2" applyFont="1" applyBorder="1" applyAlignment="1">
      <alignment vertical="center"/>
    </xf>
    <xf numFmtId="0" fontId="12" fillId="0" borderId="7" xfId="2" applyFont="1" applyBorder="1"/>
    <xf numFmtId="0" fontId="13" fillId="0" borderId="6" xfId="2" applyFont="1" applyBorder="1" applyAlignment="1">
      <alignment horizontal="left" vertical="center"/>
    </xf>
    <xf numFmtId="0" fontId="13" fillId="0" borderId="12" xfId="2" applyFont="1" applyBorder="1" applyAlignment="1">
      <alignment horizontal="right" vertical="center"/>
    </xf>
    <xf numFmtId="0" fontId="6" fillId="0" borderId="0" xfId="2" applyFont="1" applyAlignment="1">
      <alignment vertical="top"/>
    </xf>
    <xf numFmtId="0" fontId="0" fillId="0" borderId="17" xfId="0" applyBorder="1">
      <alignment vertical="center"/>
    </xf>
    <xf numFmtId="0" fontId="11" fillId="0" borderId="0" xfId="2" applyFont="1"/>
    <xf numFmtId="0" fontId="12" fillId="0" borderId="18" xfId="2" applyFont="1" applyBorder="1"/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12" fillId="0" borderId="5" xfId="2" applyFont="1" applyBorder="1"/>
    <xf numFmtId="0" fontId="12" fillId="0" borderId="5" xfId="2" applyFont="1" applyBorder="1" applyAlignment="1">
      <alignment vertical="center"/>
    </xf>
    <xf numFmtId="0" fontId="4" fillId="0" borderId="0" xfId="2" applyFont="1" applyAlignment="1">
      <alignment horizontal="left" vertical="top"/>
    </xf>
    <xf numFmtId="0" fontId="0" fillId="0" borderId="21" xfId="0" applyBorder="1">
      <alignment vertical="center"/>
    </xf>
    <xf numFmtId="0" fontId="13" fillId="0" borderId="8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0" fillId="0" borderId="10" xfId="0" applyBorder="1">
      <alignment vertical="center"/>
    </xf>
    <xf numFmtId="0" fontId="9" fillId="0" borderId="9" xfId="1" applyFont="1" applyBorder="1" applyAlignment="1">
      <alignment horizontal="left" vertical="center"/>
    </xf>
    <xf numFmtId="0" fontId="5" fillId="0" borderId="28" xfId="2" applyFont="1" applyBorder="1" applyAlignment="1">
      <alignment vertical="top"/>
    </xf>
    <xf numFmtId="0" fontId="12" fillId="0" borderId="23" xfId="2" applyFont="1" applyBorder="1"/>
    <xf numFmtId="0" fontId="12" fillId="0" borderId="24" xfId="2" applyFont="1" applyBorder="1"/>
    <xf numFmtId="0" fontId="0" fillId="0" borderId="32" xfId="0" applyBorder="1">
      <alignment vertical="center"/>
    </xf>
    <xf numFmtId="0" fontId="0" fillId="0" borderId="0" xfId="0" applyAlignment="1">
      <alignment horizontal="right" vertical="center"/>
    </xf>
    <xf numFmtId="0" fontId="12" fillId="0" borderId="11" xfId="2" applyFont="1" applyBorder="1"/>
    <xf numFmtId="0" fontId="2" fillId="0" borderId="0" xfId="2" applyFont="1" applyAlignment="1">
      <alignment horizontal="left" vertical="top"/>
    </xf>
    <xf numFmtId="0" fontId="3" fillId="0" borderId="0" xfId="2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0" fontId="7" fillId="0" borderId="0" xfId="2" applyFont="1" applyAlignment="1">
      <alignment horizontal="left" vertical="top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5" fillId="0" borderId="0" xfId="2" applyFont="1" applyAlignment="1">
      <alignment horizontal="centerContinuous" vertical="top"/>
    </xf>
    <xf numFmtId="0" fontId="6" fillId="0" borderId="0" xfId="2" applyFont="1" applyAlignment="1">
      <alignment horizontal="centerContinuous" vertical="top"/>
    </xf>
    <xf numFmtId="0" fontId="8" fillId="0" borderId="0" xfId="2" applyFont="1" applyAlignment="1">
      <alignment horizontal="centerContinuous" vertical="top"/>
    </xf>
    <xf numFmtId="0" fontId="7" fillId="0" borderId="30" xfId="2" applyFont="1" applyBorder="1" applyAlignment="1">
      <alignment vertical="top"/>
    </xf>
    <xf numFmtId="0" fontId="11" fillId="0" borderId="30" xfId="2" applyFont="1" applyBorder="1" applyAlignment="1">
      <alignment horizontal="left"/>
    </xf>
    <xf numFmtId="0" fontId="6" fillId="0" borderId="30" xfId="0" applyFont="1" applyBorder="1">
      <alignment vertical="center"/>
    </xf>
    <xf numFmtId="0" fontId="6" fillId="0" borderId="40" xfId="0" applyFont="1" applyBorder="1">
      <alignment vertical="center"/>
    </xf>
    <xf numFmtId="0" fontId="21" fillId="0" borderId="30" xfId="2" applyFont="1" applyBorder="1" applyAlignment="1">
      <alignment horizontal="left" vertical="top"/>
    </xf>
    <xf numFmtId="0" fontId="6" fillId="0" borderId="30" xfId="2" applyFont="1" applyBorder="1" applyAlignment="1">
      <alignment horizontal="left" vertical="top"/>
    </xf>
    <xf numFmtId="0" fontId="7" fillId="0" borderId="40" xfId="2" applyFont="1" applyBorder="1" applyAlignment="1">
      <alignment vertical="top"/>
    </xf>
    <xf numFmtId="0" fontId="11" fillId="0" borderId="29" xfId="2" applyFont="1" applyBorder="1" applyAlignment="1">
      <alignment vertical="center"/>
    </xf>
    <xf numFmtId="0" fontId="11" fillId="0" borderId="2" xfId="2" applyFont="1" applyBorder="1" applyAlignment="1">
      <alignment horizontal="left"/>
    </xf>
    <xf numFmtId="0" fontId="11" fillId="0" borderId="35" xfId="2" applyFont="1" applyBorder="1"/>
    <xf numFmtId="0" fontId="11" fillId="0" borderId="34" xfId="2" applyFont="1" applyBorder="1" applyAlignment="1">
      <alignment vertical="center"/>
    </xf>
    <xf numFmtId="0" fontId="11" fillId="0" borderId="0" xfId="2" applyFont="1" applyAlignment="1">
      <alignment horizontal="left"/>
    </xf>
    <xf numFmtId="0" fontId="12" fillId="0" borderId="0" xfId="0" applyFont="1">
      <alignment vertical="center"/>
    </xf>
    <xf numFmtId="0" fontId="11" fillId="0" borderId="38" xfId="2" applyFont="1" applyBorder="1"/>
    <xf numFmtId="0" fontId="12" fillId="0" borderId="17" xfId="2" applyFont="1" applyBorder="1"/>
    <xf numFmtId="0" fontId="12" fillId="0" borderId="17" xfId="2" applyFont="1" applyBorder="1" applyAlignment="1">
      <alignment horizontal="center"/>
    </xf>
    <xf numFmtId="0" fontId="0" fillId="0" borderId="64" xfId="0" applyBorder="1">
      <alignment vertical="center"/>
    </xf>
    <xf numFmtId="0" fontId="0" fillId="0" borderId="14" xfId="0" applyBorder="1">
      <alignment vertical="center"/>
    </xf>
    <xf numFmtId="0" fontId="11" fillId="0" borderId="0" xfId="0" applyFont="1">
      <alignment vertical="center"/>
    </xf>
    <xf numFmtId="49" fontId="0" fillId="0" borderId="0" xfId="0" applyNumberFormat="1">
      <alignment vertical="center"/>
    </xf>
    <xf numFmtId="49" fontId="12" fillId="0" borderId="0" xfId="2" applyNumberFormat="1" applyFont="1"/>
    <xf numFmtId="0" fontId="12" fillId="0" borderId="7" xfId="2" applyFont="1" applyBorder="1" applyAlignment="1">
      <alignment horizontal="center"/>
    </xf>
    <xf numFmtId="0" fontId="12" fillId="0" borderId="11" xfId="2" applyFont="1" applyBorder="1" applyAlignment="1">
      <alignment horizontal="center"/>
    </xf>
    <xf numFmtId="0" fontId="18" fillId="0" borderId="34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0" fontId="18" fillId="0" borderId="35" xfId="2" applyFont="1" applyBorder="1" applyAlignment="1">
      <alignment horizontal="center" vertical="center" wrapText="1"/>
    </xf>
    <xf numFmtId="0" fontId="18" fillId="0" borderId="13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21" xfId="2" applyFont="1" applyBorder="1" applyAlignment="1">
      <alignment horizontal="center" vertical="center" wrapText="1"/>
    </xf>
    <xf numFmtId="0" fontId="18" fillId="0" borderId="25" xfId="2" applyFont="1" applyBorder="1" applyAlignment="1">
      <alignment horizontal="center" vertical="center" wrapText="1"/>
    </xf>
    <xf numFmtId="0" fontId="18" fillId="0" borderId="5" xfId="2" applyFont="1" applyBorder="1" applyAlignment="1">
      <alignment horizontal="center" vertical="center" wrapText="1"/>
    </xf>
    <xf numFmtId="0" fontId="18" fillId="0" borderId="26" xfId="2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29" xfId="2" applyFont="1" applyBorder="1" applyAlignment="1">
      <alignment horizontal="center" vertical="top"/>
    </xf>
    <xf numFmtId="0" fontId="4" fillId="0" borderId="30" xfId="2" applyFont="1" applyBorder="1" applyAlignment="1">
      <alignment horizontal="center" vertical="top"/>
    </xf>
    <xf numFmtId="0" fontId="4" fillId="0" borderId="31" xfId="2" applyFont="1" applyBorder="1" applyAlignment="1">
      <alignment horizontal="center" vertical="top"/>
    </xf>
    <xf numFmtId="0" fontId="11" fillId="0" borderId="0" xfId="2" applyFont="1" applyAlignment="1">
      <alignment horizontal="left"/>
    </xf>
    <xf numFmtId="0" fontId="12" fillId="0" borderId="33" xfId="2" applyFont="1" applyBorder="1" applyAlignment="1">
      <alignment horizontal="center"/>
    </xf>
    <xf numFmtId="0" fontId="11" fillId="0" borderId="37" xfId="2" applyFont="1" applyBorder="1" applyAlignment="1">
      <alignment horizontal="center" vertical="center"/>
    </xf>
    <xf numFmtId="0" fontId="11" fillId="0" borderId="38" xfId="2" applyFont="1" applyBorder="1" applyAlignment="1">
      <alignment horizontal="center" vertical="center"/>
    </xf>
    <xf numFmtId="0" fontId="11" fillId="0" borderId="39" xfId="2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7" fillId="0" borderId="36" xfId="2" applyFont="1" applyBorder="1" applyAlignment="1">
      <alignment horizontal="center" vertical="center"/>
    </xf>
    <xf numFmtId="0" fontId="17" fillId="0" borderId="22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1" fillId="0" borderId="31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1" xfId="2" applyFont="1" applyBorder="1" applyAlignment="1">
      <alignment horizontal="left"/>
    </xf>
    <xf numFmtId="0" fontId="19" fillId="0" borderId="0" xfId="2" applyFont="1" applyAlignment="1">
      <alignment horizontal="center"/>
    </xf>
    <xf numFmtId="0" fontId="20" fillId="0" borderId="38" xfId="2" applyFont="1" applyBorder="1" applyAlignment="1">
      <alignment horizontal="center"/>
    </xf>
    <xf numFmtId="0" fontId="11" fillId="0" borderId="38" xfId="2" applyFont="1" applyBorder="1" applyAlignment="1">
      <alignment horizontal="center"/>
    </xf>
    <xf numFmtId="0" fontId="11" fillId="0" borderId="63" xfId="2" applyFont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1" fillId="2" borderId="55" xfId="0" applyFont="1" applyFill="1" applyBorder="1" applyAlignment="1">
      <alignment horizontal="center" vertical="center"/>
    </xf>
    <xf numFmtId="0" fontId="11" fillId="2" borderId="56" xfId="0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12" fillId="2" borderId="61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1" fillId="0" borderId="37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1" fillId="0" borderId="0" xfId="0" applyFont="1" applyAlignment="1">
      <alignment horizontal="center" vertical="center"/>
    </xf>
  </cellXfs>
  <cellStyles count="3">
    <cellStyle name="Normal" xfId="0" builtinId="0"/>
    <cellStyle name="Normal_PAGE1" xfId="1" xr:uid="{00000000-0005-0000-0000-000001000000}"/>
    <cellStyle name="Normal_หน้า1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59525521415769"/>
          <c:y val="7.2905494046466499E-2"/>
          <c:w val="0.83052762105524203"/>
          <c:h val="0.75635547588019403"/>
        </c:manualLayout>
      </c:layout>
      <c:lineChart>
        <c:grouping val="standard"/>
        <c:varyColors val="0"/>
        <c:ser>
          <c:idx val="1"/>
          <c:order val="0"/>
          <c:tx>
            <c:v>Step Sequence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 Sheet'!$L$2:$L$16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'Cal Sheet'!$J$2:$J$16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3-4C1D-9669-DF2EF52F1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718112"/>
        <c:axId val="130719680"/>
      </c:lineChart>
      <c:catAx>
        <c:axId val="13071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0719680"/>
        <c:crosses val="autoZero"/>
        <c:auto val="1"/>
        <c:lblAlgn val="ctr"/>
        <c:lblOffset val="100"/>
        <c:noMultiLvlLbl val="0"/>
      </c:catAx>
      <c:valAx>
        <c:axId val="130719680"/>
        <c:scaling>
          <c:orientation val="minMax"/>
          <c:max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0718112"/>
        <c:crossesAt val="1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85723</xdr:colOff>
      <xdr:row>3</xdr:row>
      <xdr:rowOff>145676</xdr:rowOff>
    </xdr:from>
    <xdr:to>
      <xdr:col>9</xdr:col>
      <xdr:colOff>68398</xdr:colOff>
      <xdr:row>4</xdr:row>
      <xdr:rowOff>174250</xdr:rowOff>
    </xdr:to>
    <xdr:sp macro="" textlink="">
      <xdr:nvSpPr>
        <xdr:cNvPr id="3" name="AutoShape 4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85723" y="1088651"/>
          <a:ext cx="1440000" cy="27622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45791" dir="2021404" algn="ctr" rotWithShape="0">
            <a:srgbClr val="808080"/>
          </a:outerShdw>
        </a:effec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Century Gothic"/>
            </a:rPr>
            <a:t>General Information</a:t>
          </a:r>
        </a:p>
      </xdr:txBody>
    </xdr:sp>
    <xdr:clientData/>
  </xdr:twoCellAnchor>
  <xdr:twoCellAnchor editAs="oneCell">
    <xdr:from>
      <xdr:col>0</xdr:col>
      <xdr:colOff>104775</xdr:colOff>
      <xdr:row>0</xdr:row>
      <xdr:rowOff>66675</xdr:rowOff>
    </xdr:from>
    <xdr:to>
      <xdr:col>12</xdr:col>
      <xdr:colOff>38100</xdr:colOff>
      <xdr:row>2</xdr:row>
      <xdr:rowOff>257175</xdr:rowOff>
    </xdr:to>
    <xdr:pic>
      <xdr:nvPicPr>
        <xdr:cNvPr id="4" name="Picture 65" descr="C:\Users\angkhana\Downloads\SWA Logo THA_2017_v2Gray-01 (3)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18764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66675</xdr:rowOff>
    </xdr:from>
    <xdr:to>
      <xdr:col>12</xdr:col>
      <xdr:colOff>38100</xdr:colOff>
      <xdr:row>2</xdr:row>
      <xdr:rowOff>257175</xdr:rowOff>
    </xdr:to>
    <xdr:pic>
      <xdr:nvPicPr>
        <xdr:cNvPr id="12" name="Picture 65" descr="C:\Users\angkhana\Downloads\SWA Logo THA_2017_v2Gray-01 (3).jp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18764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66675</xdr:rowOff>
    </xdr:from>
    <xdr:to>
      <xdr:col>12</xdr:col>
      <xdr:colOff>38100</xdr:colOff>
      <xdr:row>2</xdr:row>
      <xdr:rowOff>257175</xdr:rowOff>
    </xdr:to>
    <xdr:pic>
      <xdr:nvPicPr>
        <xdr:cNvPr id="13" name="Picture 65" descr="C:\Users\angkhana\Downloads\SWA Logo THA_2017_v2Gray-01 (3).jp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18764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66675</xdr:rowOff>
    </xdr:from>
    <xdr:to>
      <xdr:col>12</xdr:col>
      <xdr:colOff>38100</xdr:colOff>
      <xdr:row>2</xdr:row>
      <xdr:rowOff>257175</xdr:rowOff>
    </xdr:to>
    <xdr:pic>
      <xdr:nvPicPr>
        <xdr:cNvPr id="15" name="Picture 65" descr="C:\Users\angkhana\Downloads\SWA Logo THA_2017_v2Gray-01 (3).jp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18764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89646</xdr:colOff>
      <xdr:row>14</xdr:row>
      <xdr:rowOff>159844</xdr:rowOff>
    </xdr:from>
    <xdr:to>
      <xdr:col>13</xdr:col>
      <xdr:colOff>72621</xdr:colOff>
      <xdr:row>15</xdr:row>
      <xdr:rowOff>188420</xdr:rowOff>
    </xdr:to>
    <xdr:sp macro="" textlink="">
      <xdr:nvSpPr>
        <xdr:cNvPr id="16" name="AutoShape 4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rrowheads="1"/>
        </xdr:cNvSpPr>
      </xdr:nvSpPr>
      <xdr:spPr bwMode="auto">
        <a:xfrm>
          <a:off x="89646" y="3826969"/>
          <a:ext cx="2088000" cy="276226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45791" dir="2021404" algn="ctr" rotWithShape="0">
            <a:srgbClr val="808080"/>
          </a:outerShdw>
        </a:effec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Century Gothic"/>
            </a:rPr>
            <a:t>Test Pressure vs Duration Graph</a:t>
          </a:r>
        </a:p>
      </xdr:txBody>
    </xdr:sp>
    <xdr:clientData/>
  </xdr:twoCellAnchor>
  <xdr:twoCellAnchor>
    <xdr:from>
      <xdr:col>0</xdr:col>
      <xdr:colOff>122463</xdr:colOff>
      <xdr:row>36</xdr:row>
      <xdr:rowOff>122467</xdr:rowOff>
    </xdr:from>
    <xdr:to>
      <xdr:col>8</xdr:col>
      <xdr:colOff>91404</xdr:colOff>
      <xdr:row>37</xdr:row>
      <xdr:rowOff>151042</xdr:rowOff>
    </xdr:to>
    <xdr:sp macro="" textlink="">
      <xdr:nvSpPr>
        <xdr:cNvPr id="17" name="AutoShape 48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Arrowheads="1"/>
        </xdr:cNvSpPr>
      </xdr:nvSpPr>
      <xdr:spPr bwMode="auto">
        <a:xfrm>
          <a:off x="122463" y="9285517"/>
          <a:ext cx="1264341" cy="276225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45791" dir="2021404" algn="ctr" rotWithShape="0">
            <a:srgbClr val="808080"/>
          </a:outerShdw>
        </a:effec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Century Gothic"/>
            </a:rPr>
            <a:t>Note &amp; Comments</a:t>
          </a:r>
        </a:p>
      </xdr:txBody>
    </xdr:sp>
    <xdr:clientData/>
  </xdr:twoCellAnchor>
  <xdr:twoCellAnchor>
    <xdr:from>
      <xdr:col>19</xdr:col>
      <xdr:colOff>66799</xdr:colOff>
      <xdr:row>17</xdr:row>
      <xdr:rowOff>4392</xdr:rowOff>
    </xdr:from>
    <xdr:to>
      <xdr:col>49</xdr:col>
      <xdr:colOff>57275</xdr:colOff>
      <xdr:row>27</xdr:row>
      <xdr:rowOff>95250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36825</xdr:colOff>
      <xdr:row>14</xdr:row>
      <xdr:rowOff>163307</xdr:rowOff>
    </xdr:from>
    <xdr:to>
      <xdr:col>31</xdr:col>
      <xdr:colOff>10136</xdr:colOff>
      <xdr:row>15</xdr:row>
      <xdr:rowOff>191883</xdr:rowOff>
    </xdr:to>
    <xdr:sp macro="" textlink="">
      <xdr:nvSpPr>
        <xdr:cNvPr id="19" name="AutoShape 4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Arrowheads="1"/>
        </xdr:cNvSpPr>
      </xdr:nvSpPr>
      <xdr:spPr bwMode="auto">
        <a:xfrm>
          <a:off x="3157084" y="3855066"/>
          <a:ext cx="1944000" cy="278196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45791" dir="2021404" algn="ctr" rotWithShape="0">
            <a:srgbClr val="808080"/>
          </a:outerShdw>
        </a:effec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Century Gothic"/>
            </a:rPr>
            <a:t>Step Sequence Pressure Test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0.38583</cdr:x>
      <cdr:y>0.88792</cdr:y>
    </cdr:from>
    <cdr:to>
      <cdr:x>0.60433</cdr:x>
      <cdr:y>0.96813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66898" y="2448762"/>
          <a:ext cx="1057276" cy="22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Century Gothic" panose="020B0502020202020204" pitchFamily="34" charset="0"/>
            </a:rPr>
            <a:t>Duration</a:t>
          </a:r>
          <a:r>
            <a:rPr lang="en-US" sz="1000" baseline="0">
              <a:latin typeface="Century Gothic" panose="020B0502020202020204" pitchFamily="34" charset="0"/>
            </a:rPr>
            <a:t> (mins)</a:t>
          </a:r>
          <a:endParaRPr lang="en-US" sz="1000">
            <a:latin typeface="Century Gothic" panose="020B0502020202020204" pitchFamily="34" charset="0"/>
          </a:endParaRPr>
        </a:p>
      </cdr:txBody>
    </cdr:sp>
  </cdr:relSizeAnchor>
  <cdr:relSizeAnchor xmlns:cdr="http://schemas.openxmlformats.org/drawingml/2006/chartDrawing">
    <cdr:from>
      <cdr:x>0.01172</cdr:x>
      <cdr:y>0.25341</cdr:y>
    </cdr:from>
    <cdr:to>
      <cdr:x>0.06374</cdr:x>
      <cdr:y>0.64759</cdr:y>
    </cdr:to>
    <cdr:sp macro="" textlink="">
      <cdr:nvSpPr>
        <cdr:cNvPr id="3" name="TextBox 1"/>
        <cdr:cNvSpPr txBox="1"/>
      </cdr:nvSpPr>
      <cdr:spPr>
        <a:xfrm xmlns:a="http://schemas.openxmlformats.org/drawingml/2006/main" rot="16200000">
          <a:off x="-435994" y="1288030"/>
          <a:ext cx="1237113" cy="251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Century Gothic" panose="020B0502020202020204" pitchFamily="34" charset="0"/>
            </a:rPr>
            <a:t>Pressure Test</a:t>
          </a:r>
          <a:r>
            <a:rPr lang="en-US" sz="1000" baseline="0">
              <a:latin typeface="Century Gothic" panose="020B0502020202020204" pitchFamily="34" charset="0"/>
            </a:rPr>
            <a:t> (psi)</a:t>
          </a:r>
          <a:endParaRPr lang="en-US" sz="1000">
            <a:latin typeface="Century Gothic" panose="020B0502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c1/Desktop/Leakage%20Test%20Sheet.xlsx" TargetMode="External"/><Relationship Id="rId1" Type="http://schemas.openxmlformats.org/officeDocument/2006/relationships/externalLinkPath" Target="/Users/pc1/Desktop/Leakage%20Test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t Number 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49"/>
  <sheetViews>
    <sheetView showGridLines="0" showWhiteSpace="0" topLeftCell="A13" zoomScale="85" zoomScaleNormal="85" zoomScaleSheetLayoutView="100" workbookViewId="0">
      <selection activeCell="AB31" sqref="AB31:AD31"/>
    </sheetView>
  </sheetViews>
  <sheetFormatPr defaultColWidth="2.83203125" defaultRowHeight="23.25"/>
  <cols>
    <col min="1" max="36" width="2.83203125" style="17" customWidth="1"/>
    <col min="37" max="37" width="2.6640625" style="17" customWidth="1"/>
    <col min="38" max="49" width="2.83203125" style="17" customWidth="1"/>
    <col min="50" max="50" width="5.33203125" style="17" customWidth="1"/>
    <col min="51" max="16384" width="2.83203125" style="17"/>
  </cols>
  <sheetData>
    <row r="1" spans="1:50" s="6" customFormat="1" ht="24.95" customHeight="1">
      <c r="A1" s="1"/>
      <c r="B1" s="2"/>
      <c r="C1" s="3"/>
      <c r="D1" s="3"/>
      <c r="E1" s="2"/>
      <c r="F1" s="3"/>
      <c r="G1" s="3"/>
      <c r="H1" s="4"/>
      <c r="I1" s="5"/>
      <c r="J1" s="4"/>
      <c r="K1" s="4"/>
      <c r="L1" s="4"/>
      <c r="M1" s="4"/>
      <c r="N1" s="90" t="s">
        <v>42</v>
      </c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2"/>
      <c r="AI1" s="77" t="s">
        <v>0</v>
      </c>
      <c r="AJ1" s="75"/>
      <c r="AK1" s="75"/>
      <c r="AL1" s="75"/>
      <c r="AM1" s="75"/>
      <c r="AN1" s="75"/>
      <c r="AO1" s="76"/>
      <c r="AP1" s="99"/>
      <c r="AQ1" s="100"/>
      <c r="AR1" s="100"/>
      <c r="AS1" s="100"/>
      <c r="AT1" s="100"/>
      <c r="AU1" s="100"/>
      <c r="AV1" s="100"/>
      <c r="AW1" s="100"/>
      <c r="AX1" s="101"/>
    </row>
    <row r="2" spans="1:50" s="6" customFormat="1" ht="24.95" customHeight="1">
      <c r="A2" s="7"/>
      <c r="B2" s="58"/>
      <c r="C2" s="59"/>
      <c r="D2" s="59"/>
      <c r="E2" s="60"/>
      <c r="F2" s="59"/>
      <c r="G2" s="59"/>
      <c r="H2" s="44"/>
      <c r="I2" s="44"/>
      <c r="J2" s="61"/>
      <c r="K2" s="61"/>
      <c r="L2" s="44"/>
      <c r="M2" s="44"/>
      <c r="N2" s="93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5"/>
      <c r="AI2" s="74" t="s">
        <v>1</v>
      </c>
      <c r="AJ2" s="67"/>
      <c r="AK2" s="68"/>
      <c r="AL2" s="68"/>
      <c r="AM2" s="68"/>
      <c r="AN2" s="69"/>
      <c r="AO2" s="70"/>
      <c r="AP2" s="102"/>
      <c r="AQ2" s="103"/>
      <c r="AR2" s="103"/>
      <c r="AS2" s="103"/>
      <c r="AT2" s="103"/>
      <c r="AU2" s="103"/>
      <c r="AV2" s="103"/>
      <c r="AW2" s="103"/>
      <c r="AX2" s="104"/>
    </row>
    <row r="3" spans="1:50" s="6" customFormat="1" ht="24.95" customHeight="1">
      <c r="A3" s="9"/>
      <c r="B3" s="10"/>
      <c r="C3" s="11"/>
      <c r="D3" s="11"/>
      <c r="E3" s="12"/>
      <c r="F3" s="10"/>
      <c r="G3" s="10"/>
      <c r="H3" s="13"/>
      <c r="I3" s="13"/>
      <c r="J3" s="13"/>
      <c r="K3" s="13"/>
      <c r="L3" s="14"/>
      <c r="M3" s="14"/>
      <c r="N3" s="96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8"/>
      <c r="AI3" s="74" t="s">
        <v>2</v>
      </c>
      <c r="AJ3" s="71"/>
      <c r="AK3" s="72"/>
      <c r="AL3" s="67"/>
      <c r="AM3" s="67"/>
      <c r="AN3" s="67"/>
      <c r="AO3" s="73"/>
      <c r="AP3" s="105"/>
      <c r="AQ3" s="106"/>
      <c r="AR3" s="106"/>
      <c r="AS3" s="106"/>
      <c r="AT3" s="106"/>
      <c r="AU3" s="106"/>
      <c r="AV3" s="106"/>
      <c r="AW3" s="106"/>
      <c r="AX3" s="107"/>
    </row>
    <row r="4" spans="1:50" ht="20.100000000000001" customHeight="1">
      <c r="A4" s="15"/>
      <c r="B4" s="16"/>
      <c r="C4" s="62"/>
      <c r="D4" s="62"/>
      <c r="E4" s="62"/>
      <c r="F4" s="62"/>
      <c r="G4" s="62"/>
      <c r="H4" s="62"/>
      <c r="I4" s="62"/>
      <c r="J4" s="16"/>
      <c r="K4" s="16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37"/>
      <c r="X4" s="62"/>
      <c r="Y4" s="62"/>
      <c r="Z4" s="62"/>
      <c r="AA4" s="62"/>
      <c r="AB4" s="62"/>
      <c r="AC4" s="16"/>
      <c r="AD4" s="16"/>
      <c r="AE4" s="62"/>
      <c r="AF4" s="16"/>
      <c r="AG4" s="63"/>
      <c r="AH4" s="63"/>
      <c r="AI4" s="63"/>
      <c r="AJ4" s="63"/>
      <c r="AK4" s="63"/>
      <c r="AL4" s="63"/>
      <c r="AM4" s="62"/>
      <c r="AN4" s="63"/>
      <c r="AO4" s="63"/>
      <c r="AP4" s="63"/>
      <c r="AQ4" s="63"/>
      <c r="AR4" s="63"/>
      <c r="AS4" s="63"/>
      <c r="AX4" s="18"/>
    </row>
    <row r="5" spans="1:50" s="6" customFormat="1" ht="20.100000000000001" customHeight="1">
      <c r="A5" s="19"/>
      <c r="C5" s="64"/>
      <c r="D5" s="65"/>
      <c r="E5" s="65"/>
      <c r="F5" s="65"/>
      <c r="G5" s="65"/>
      <c r="H5" s="65"/>
      <c r="I5" s="64"/>
      <c r="J5" s="64"/>
      <c r="K5" s="65"/>
      <c r="L5" s="65"/>
      <c r="M5" s="65"/>
      <c r="N5" s="65"/>
      <c r="O5" s="35"/>
      <c r="P5" s="35"/>
      <c r="Q5" s="66"/>
      <c r="R5" s="3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 s="18"/>
    </row>
    <row r="6" spans="1:50" s="6" customFormat="1" ht="20.100000000000001" customHeight="1">
      <c r="A6" s="19"/>
      <c r="B6" s="37" t="s">
        <v>4</v>
      </c>
      <c r="C6"/>
      <c r="D6"/>
      <c r="E6"/>
      <c r="F6" s="88" t="e">
        <f>#REF!</f>
        <v>#REF!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35"/>
      <c r="S6" s="35"/>
      <c r="T6"/>
      <c r="U6"/>
      <c r="V6" s="110" t="s">
        <v>27</v>
      </c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2"/>
      <c r="AX6" s="18"/>
    </row>
    <row r="7" spans="1:50" s="6" customFormat="1" ht="20.100000000000001" customHeight="1">
      <c r="A7" s="27"/>
      <c r="B7" s="37" t="s">
        <v>5</v>
      </c>
      <c r="C7"/>
      <c r="D7"/>
      <c r="E7"/>
      <c r="F7" s="30"/>
      <c r="G7" s="30"/>
      <c r="H7" s="30">
        <v>1</v>
      </c>
      <c r="I7" s="89" t="e">
        <f>#REF!</f>
        <v>#REF!</v>
      </c>
      <c r="J7" s="89"/>
      <c r="K7" s="89"/>
      <c r="L7" s="89"/>
      <c r="M7" s="89"/>
      <c r="N7" s="89"/>
      <c r="O7" s="89"/>
      <c r="P7" s="89"/>
      <c r="Q7" s="89"/>
      <c r="R7" s="35"/>
      <c r="S7" s="35"/>
      <c r="T7"/>
      <c r="U7"/>
      <c r="V7" s="36"/>
      <c r="W7" s="108" t="s">
        <v>3</v>
      </c>
      <c r="X7" s="108"/>
      <c r="Y7" s="108"/>
      <c r="Z7" s="108"/>
      <c r="AA7" s="108"/>
      <c r="AB7" s="109" t="e">
        <f>#REF!</f>
        <v>#REF!</v>
      </c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39"/>
      <c r="AX7" s="18"/>
    </row>
    <row r="8" spans="1:50" s="20" customFormat="1" ht="20.100000000000001" customHeight="1">
      <c r="A8" s="27"/>
      <c r="B8"/>
      <c r="C8"/>
      <c r="D8"/>
      <c r="E8"/>
      <c r="F8"/>
      <c r="G8"/>
      <c r="H8" s="30">
        <v>2</v>
      </c>
      <c r="I8" s="89" t="e">
        <f>#REF!</f>
        <v>#REF!</v>
      </c>
      <c r="J8" s="89"/>
      <c r="K8" s="89"/>
      <c r="L8" s="89"/>
      <c r="M8" s="89"/>
      <c r="N8" s="89"/>
      <c r="O8" s="89"/>
      <c r="P8" s="89"/>
      <c r="Q8" s="89"/>
      <c r="R8" s="30">
        <v>2</v>
      </c>
      <c r="S8" s="30" t="s">
        <v>28</v>
      </c>
      <c r="T8"/>
      <c r="U8"/>
      <c r="V8" s="36"/>
      <c r="W8" s="78" t="s">
        <v>29</v>
      </c>
      <c r="X8" s="37"/>
      <c r="Y8" s="37"/>
      <c r="Z8" s="37"/>
      <c r="AA8" s="32"/>
      <c r="AB8" s="89" t="s">
        <v>43</v>
      </c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39"/>
      <c r="AX8" s="18"/>
    </row>
    <row r="9" spans="1:50" s="20" customFormat="1" ht="20.100000000000001" customHeight="1">
      <c r="A9" s="27"/>
      <c r="B9"/>
      <c r="C9"/>
      <c r="D9"/>
      <c r="E9"/>
      <c r="F9"/>
      <c r="G9"/>
      <c r="H9" s="30">
        <v>3</v>
      </c>
      <c r="I9" s="89" t="e">
        <f>#REF!</f>
        <v>#REF!</v>
      </c>
      <c r="J9" s="89"/>
      <c r="K9" s="89"/>
      <c r="L9" s="89"/>
      <c r="M9" s="89"/>
      <c r="N9" s="89"/>
      <c r="O9" s="89"/>
      <c r="P9" s="89"/>
      <c r="Q9" s="89"/>
      <c r="R9">
        <v>1</v>
      </c>
      <c r="S9" s="30" t="s">
        <v>28</v>
      </c>
      <c r="T9"/>
      <c r="U9"/>
      <c r="V9" s="36"/>
      <c r="W9" s="108" t="s">
        <v>30</v>
      </c>
      <c r="X9" s="108"/>
      <c r="Y9" s="108"/>
      <c r="Z9" s="108"/>
      <c r="AA9" s="89">
        <v>18</v>
      </c>
      <c r="AB9" s="89"/>
      <c r="AC9" s="57" t="s">
        <v>26</v>
      </c>
      <c r="AD9" s="89">
        <v>10</v>
      </c>
      <c r="AE9" s="89"/>
      <c r="AF9" s="57" t="s">
        <v>26</v>
      </c>
      <c r="AG9" s="89">
        <v>2018</v>
      </c>
      <c r="AH9" s="89"/>
      <c r="AI9" s="89"/>
      <c r="AJ9"/>
      <c r="AK9"/>
      <c r="AL9"/>
      <c r="AM9"/>
      <c r="AN9"/>
      <c r="AO9"/>
      <c r="AP9"/>
      <c r="AQ9"/>
      <c r="AR9"/>
      <c r="AS9"/>
      <c r="AT9"/>
      <c r="AU9"/>
      <c r="AV9"/>
      <c r="AW9" s="39"/>
      <c r="AX9" s="18"/>
    </row>
    <row r="10" spans="1:50" s="20" customFormat="1" ht="20.100000000000001" customHeight="1">
      <c r="A10" s="27"/>
      <c r="B10"/>
      <c r="C10"/>
      <c r="D10"/>
      <c r="E10"/>
      <c r="F10"/>
      <c r="G10"/>
      <c r="H10" s="30">
        <v>4</v>
      </c>
      <c r="I10" s="89" t="e">
        <f>#REF!</f>
        <v>#REF!</v>
      </c>
      <c r="J10" s="89"/>
      <c r="K10" s="89"/>
      <c r="L10" s="89"/>
      <c r="M10" s="89"/>
      <c r="N10" s="89"/>
      <c r="O10" s="89"/>
      <c r="P10" s="89"/>
      <c r="Q10" s="89"/>
      <c r="R10">
        <v>1</v>
      </c>
      <c r="S10" s="30" t="s">
        <v>28</v>
      </c>
      <c r="T10"/>
      <c r="U10"/>
      <c r="V10" s="36"/>
      <c r="W10" s="108" t="s">
        <v>15</v>
      </c>
      <c r="X10" s="108"/>
      <c r="Y10" s="108"/>
      <c r="Z10" s="108"/>
      <c r="AA10" s="108"/>
      <c r="AB10" s="89" t="e">
        <f>#REF!</f>
        <v>#REF!</v>
      </c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39"/>
      <c r="AX10" s="18"/>
    </row>
    <row r="11" spans="1:50" s="20" customFormat="1" ht="20.100000000000001" customHeight="1">
      <c r="A11" s="27"/>
      <c r="B11"/>
      <c r="C11"/>
      <c r="D11"/>
      <c r="E11"/>
      <c r="F11"/>
      <c r="G11"/>
      <c r="H11" s="30">
        <v>5</v>
      </c>
      <c r="I11" s="89" t="e">
        <f>#REF!</f>
        <v>#REF!</v>
      </c>
      <c r="J11" s="89"/>
      <c r="K11" s="89"/>
      <c r="L11" s="89"/>
      <c r="M11" s="89"/>
      <c r="N11" s="89"/>
      <c r="O11" s="89"/>
      <c r="P11" s="89"/>
      <c r="Q11" s="89"/>
      <c r="R11"/>
      <c r="S11" s="30" t="s">
        <v>28</v>
      </c>
      <c r="T11"/>
      <c r="U11"/>
      <c r="V11" s="36"/>
      <c r="W11" s="37" t="s">
        <v>14</v>
      </c>
      <c r="X11" s="37"/>
      <c r="Y11" s="37"/>
      <c r="Z11" s="37"/>
      <c r="AA11" s="37"/>
      <c r="AB11"/>
      <c r="AC11" s="89" t="e">
        <f>#REF!</f>
        <v>#REF!</v>
      </c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125" t="e">
        <f>#REF!</f>
        <v>#REF!</v>
      </c>
      <c r="AU11" s="125"/>
      <c r="AV11" s="125"/>
      <c r="AW11" s="39"/>
      <c r="AX11" s="18"/>
    </row>
    <row r="12" spans="1:50" s="20" customFormat="1" ht="20.100000000000001" customHeight="1">
      <c r="A12" s="27"/>
      <c r="B12"/>
      <c r="C12"/>
      <c r="D12"/>
      <c r="E12"/>
      <c r="F12"/>
      <c r="G12"/>
      <c r="H12" s="30">
        <v>6</v>
      </c>
      <c r="I12" s="89" t="e">
        <f>#REF!</f>
        <v>#REF!</v>
      </c>
      <c r="J12" s="89"/>
      <c r="K12" s="89"/>
      <c r="L12" s="89"/>
      <c r="M12" s="89"/>
      <c r="N12" s="89"/>
      <c r="O12" s="89"/>
      <c r="P12" s="89"/>
      <c r="Q12" s="89"/>
      <c r="R12"/>
      <c r="S12" s="30" t="s">
        <v>28</v>
      </c>
      <c r="T12"/>
      <c r="U12"/>
      <c r="V12" s="36"/>
      <c r="W12" s="37" t="s">
        <v>16</v>
      </c>
      <c r="X12" s="37"/>
      <c r="Y12" s="37"/>
      <c r="Z12" s="37"/>
      <c r="AA12" s="37"/>
      <c r="AB12" s="57"/>
      <c r="AC12" s="89">
        <v>5</v>
      </c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125" t="e">
        <f>#REF!</f>
        <v>#REF!</v>
      </c>
      <c r="AU12" s="125"/>
      <c r="AV12" s="125"/>
      <c r="AW12" s="39"/>
      <c r="AX12" s="18"/>
    </row>
    <row r="13" spans="1:50" s="16" customFormat="1" ht="20.100000000000001" customHeight="1">
      <c r="A13" s="27"/>
      <c r="B13"/>
      <c r="C13"/>
      <c r="D13"/>
      <c r="E13"/>
      <c r="F13"/>
      <c r="G13"/>
      <c r="H13" s="30">
        <v>7</v>
      </c>
      <c r="I13" s="89" t="e">
        <f>#REF!</f>
        <v>#REF!</v>
      </c>
      <c r="J13" s="89"/>
      <c r="K13" s="89"/>
      <c r="L13" s="89"/>
      <c r="M13" s="89"/>
      <c r="N13" s="89"/>
      <c r="O13" s="89"/>
      <c r="P13" s="89"/>
      <c r="Q13" s="89"/>
      <c r="R13"/>
      <c r="S13" s="30" t="s">
        <v>28</v>
      </c>
      <c r="T13"/>
      <c r="U13"/>
      <c r="V13" s="36"/>
      <c r="W13" s="37" t="s">
        <v>31</v>
      </c>
      <c r="X13"/>
      <c r="Y13"/>
      <c r="Z13"/>
      <c r="AA13"/>
      <c r="AB13"/>
      <c r="AC13"/>
      <c r="AD13" s="30"/>
      <c r="AE13" s="30"/>
      <c r="AF13" s="30"/>
      <c r="AG13" s="30"/>
      <c r="AH13" s="89" t="e">
        <f>#REF!</f>
        <v>#REF!</v>
      </c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125" t="e">
        <f>#REF!</f>
        <v>#REF!</v>
      </c>
      <c r="AU13" s="125"/>
      <c r="AV13" s="125"/>
      <c r="AW13" s="39"/>
      <c r="AX13" s="18"/>
    </row>
    <row r="14" spans="1:50" s="16" customFormat="1" ht="20.100000000000001" customHeight="1">
      <c r="A14" s="27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s="40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41"/>
      <c r="AX14" s="18"/>
    </row>
    <row r="15" spans="1:50" s="16" customFormat="1" ht="20.100000000000001" customHeight="1">
      <c r="A15" s="27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 s="18"/>
    </row>
    <row r="16" spans="1:50" s="16" customFormat="1" ht="20.100000000000001" customHeight="1">
      <c r="A16" s="27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 s="18"/>
    </row>
    <row r="17" spans="1:50" s="16" customFormat="1" ht="20.100000000000001" customHeight="1">
      <c r="A17" s="2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 s="18"/>
    </row>
    <row r="18" spans="1:50" s="23" customFormat="1" ht="20.100000000000001" customHeight="1">
      <c r="A18" s="27"/>
      <c r="B18" s="113" t="s">
        <v>35</v>
      </c>
      <c r="C18" s="114"/>
      <c r="D18" s="114"/>
      <c r="E18" s="114"/>
      <c r="F18" s="114"/>
      <c r="G18" s="114"/>
      <c r="H18" s="114"/>
      <c r="I18" s="114"/>
      <c r="J18" s="115"/>
      <c r="K18" s="113" t="s">
        <v>44</v>
      </c>
      <c r="L18" s="114"/>
      <c r="M18" s="114"/>
      <c r="N18" s="116"/>
      <c r="O18" s="113" t="s">
        <v>37</v>
      </c>
      <c r="P18" s="114"/>
      <c r="Q18" s="114"/>
      <c r="R18" s="116"/>
      <c r="U18" s="79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 s="18"/>
    </row>
    <row r="19" spans="1:50" s="20" customFormat="1" ht="20.100000000000001" customHeight="1">
      <c r="A19" s="27"/>
      <c r="B19" s="134" t="s">
        <v>38</v>
      </c>
      <c r="C19" s="135"/>
      <c r="D19" s="135"/>
      <c r="E19" s="135"/>
      <c r="F19" s="135"/>
      <c r="G19" s="135"/>
      <c r="H19" s="135"/>
      <c r="I19" s="135"/>
      <c r="J19" s="136"/>
      <c r="K19" s="137">
        <v>0</v>
      </c>
      <c r="L19" s="135"/>
      <c r="M19" s="135"/>
      <c r="N19" s="136"/>
      <c r="O19" s="138">
        <v>0</v>
      </c>
      <c r="P19" s="139"/>
      <c r="Q19" s="139"/>
      <c r="R19" s="140"/>
      <c r="U19" s="7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 s="18"/>
    </row>
    <row r="20" spans="1:50" s="20" customFormat="1" ht="20.100000000000001" customHeight="1">
      <c r="A20" s="27"/>
      <c r="B20" s="141" t="s">
        <v>39</v>
      </c>
      <c r="C20" s="142"/>
      <c r="D20" s="142"/>
      <c r="E20" s="143"/>
      <c r="F20" s="147" t="s">
        <v>45</v>
      </c>
      <c r="G20" s="148"/>
      <c r="H20" s="148"/>
      <c r="I20" s="148"/>
      <c r="J20" s="149"/>
      <c r="K20" s="150">
        <v>500</v>
      </c>
      <c r="L20" s="151"/>
      <c r="M20" s="151"/>
      <c r="N20" s="152"/>
      <c r="O20" s="153">
        <v>1</v>
      </c>
      <c r="P20" s="153"/>
      <c r="Q20" s="153"/>
      <c r="R20" s="153"/>
      <c r="U20" s="79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 s="18"/>
    </row>
    <row r="21" spans="1:50" s="20" customFormat="1" ht="20.100000000000001" customHeight="1">
      <c r="A21" s="27"/>
      <c r="B21" s="144"/>
      <c r="C21" s="145"/>
      <c r="D21" s="145"/>
      <c r="E21" s="146"/>
      <c r="F21" s="147" t="s">
        <v>46</v>
      </c>
      <c r="G21" s="148"/>
      <c r="H21" s="148"/>
      <c r="I21" s="148"/>
      <c r="J21" s="149"/>
      <c r="K21" s="150">
        <v>500</v>
      </c>
      <c r="L21" s="151"/>
      <c r="M21" s="151"/>
      <c r="N21" s="152"/>
      <c r="O21" s="154">
        <v>5</v>
      </c>
      <c r="P21" s="155"/>
      <c r="Q21" s="155"/>
      <c r="R21" s="156"/>
      <c r="U21" s="79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 s="18"/>
    </row>
    <row r="22" spans="1:50" s="20" customFormat="1" ht="20.100000000000001" customHeight="1">
      <c r="A22" s="27"/>
      <c r="B22" s="141" t="s">
        <v>40</v>
      </c>
      <c r="C22" s="142"/>
      <c r="D22" s="142"/>
      <c r="E22" s="143"/>
      <c r="F22" s="147" t="s">
        <v>45</v>
      </c>
      <c r="G22" s="148"/>
      <c r="H22" s="148"/>
      <c r="I22" s="148"/>
      <c r="J22" s="149"/>
      <c r="K22" s="168">
        <v>1000</v>
      </c>
      <c r="L22" s="168"/>
      <c r="M22" s="168"/>
      <c r="N22" s="168"/>
      <c r="O22" s="153">
        <v>1</v>
      </c>
      <c r="P22" s="153"/>
      <c r="Q22" s="153"/>
      <c r="R22" s="153"/>
      <c r="S22" s="79"/>
      <c r="T22" s="79"/>
      <c r="U22" s="79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 s="18"/>
    </row>
    <row r="23" spans="1:50" s="20" customFormat="1" ht="20.100000000000001" customHeight="1">
      <c r="A23" s="27"/>
      <c r="B23" s="144"/>
      <c r="C23" s="145"/>
      <c r="D23" s="145"/>
      <c r="E23" s="146"/>
      <c r="F23" s="147" t="s">
        <v>46</v>
      </c>
      <c r="G23" s="148"/>
      <c r="H23" s="148"/>
      <c r="I23" s="148"/>
      <c r="J23" s="149"/>
      <c r="K23" s="168">
        <v>1000</v>
      </c>
      <c r="L23" s="168"/>
      <c r="M23" s="168"/>
      <c r="N23" s="168"/>
      <c r="O23" s="153">
        <v>10</v>
      </c>
      <c r="P23" s="153"/>
      <c r="Q23" s="153"/>
      <c r="R23" s="153"/>
      <c r="S23" s="79"/>
      <c r="T23" s="79"/>
      <c r="U23" s="79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 s="18"/>
    </row>
    <row r="24" spans="1:50" s="20" customFormat="1" ht="20.100000000000001" customHeight="1">
      <c r="A24" s="21"/>
      <c r="B24" s="141" t="s">
        <v>41</v>
      </c>
      <c r="C24" s="142"/>
      <c r="D24" s="142"/>
      <c r="E24" s="143"/>
      <c r="F24" s="147" t="s">
        <v>47</v>
      </c>
      <c r="G24" s="148"/>
      <c r="H24" s="148"/>
      <c r="I24" s="148"/>
      <c r="J24" s="149"/>
      <c r="K24" s="157">
        <v>500</v>
      </c>
      <c r="L24" s="158"/>
      <c r="M24" s="158"/>
      <c r="N24" s="159"/>
      <c r="O24" s="160">
        <v>1</v>
      </c>
      <c r="P24" s="161"/>
      <c r="Q24" s="161"/>
      <c r="R24" s="162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 s="18"/>
    </row>
    <row r="25" spans="1:50" s="20" customFormat="1" ht="20.100000000000001" customHeight="1">
      <c r="A25" s="21"/>
      <c r="B25" s="144"/>
      <c r="C25" s="145"/>
      <c r="D25" s="145"/>
      <c r="E25" s="146"/>
      <c r="F25" s="147" t="s">
        <v>46</v>
      </c>
      <c r="G25" s="148"/>
      <c r="H25" s="148"/>
      <c r="I25" s="148"/>
      <c r="J25" s="149"/>
      <c r="K25" s="163">
        <v>500</v>
      </c>
      <c r="L25" s="148"/>
      <c r="M25" s="148"/>
      <c r="N25" s="164"/>
      <c r="O25" s="165">
        <v>5</v>
      </c>
      <c r="P25" s="166"/>
      <c r="Q25" s="166"/>
      <c r="R25" s="167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 s="18"/>
    </row>
    <row r="26" spans="1:50" s="16" customFormat="1" ht="20.100000000000001" customHeight="1">
      <c r="A26" s="22"/>
      <c r="B26" s="141" t="s">
        <v>48</v>
      </c>
      <c r="C26" s="142"/>
      <c r="D26" s="142"/>
      <c r="E26" s="143"/>
      <c r="F26" s="147" t="s">
        <v>47</v>
      </c>
      <c r="G26" s="148"/>
      <c r="H26" s="148"/>
      <c r="I26" s="148"/>
      <c r="J26" s="149"/>
      <c r="K26" s="169">
        <v>0</v>
      </c>
      <c r="L26" s="170"/>
      <c r="M26" s="170"/>
      <c r="N26" s="171"/>
      <c r="O26" s="172">
        <v>1</v>
      </c>
      <c r="P26" s="173"/>
      <c r="Q26" s="173"/>
      <c r="R26" s="174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 s="18"/>
    </row>
    <row r="27" spans="1:50" s="20" customFormat="1" ht="20.100000000000001" customHeight="1">
      <c r="A27" s="31"/>
      <c r="B27" s="144"/>
      <c r="C27" s="145"/>
      <c r="D27" s="145"/>
      <c r="E27" s="146"/>
      <c r="F27" s="147" t="s">
        <v>49</v>
      </c>
      <c r="G27" s="148"/>
      <c r="H27" s="148"/>
      <c r="I27" s="148"/>
      <c r="J27" s="149"/>
      <c r="K27" s="169">
        <v>0</v>
      </c>
      <c r="L27" s="170"/>
      <c r="M27" s="170"/>
      <c r="N27" s="171"/>
      <c r="O27" s="172"/>
      <c r="P27" s="173"/>
      <c r="Q27" s="173"/>
      <c r="R27" s="174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 s="18"/>
    </row>
    <row r="28" spans="1:50" s="20" customFormat="1" ht="20.100000000000001" customHeight="1">
      <c r="A28" s="31"/>
      <c r="B28" s="141"/>
      <c r="C28" s="142"/>
      <c r="D28" s="142"/>
      <c r="E28" s="143"/>
      <c r="F28" s="147"/>
      <c r="G28" s="148"/>
      <c r="H28" s="148"/>
      <c r="I28" s="148"/>
      <c r="J28" s="149"/>
      <c r="K28" s="169"/>
      <c r="L28" s="170"/>
      <c r="M28" s="170"/>
      <c r="N28" s="171"/>
      <c r="O28" s="172"/>
      <c r="P28" s="173"/>
      <c r="Q28" s="173"/>
      <c r="R28" s="174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 s="18"/>
    </row>
    <row r="29" spans="1:50" s="8" customFormat="1" ht="20.100000000000001" customHeight="1">
      <c r="A29" s="31"/>
      <c r="B29" s="144"/>
      <c r="C29" s="145"/>
      <c r="D29" s="145"/>
      <c r="E29" s="146"/>
      <c r="F29" s="147"/>
      <c r="G29" s="148"/>
      <c r="H29" s="148"/>
      <c r="I29" s="148"/>
      <c r="J29" s="149"/>
      <c r="K29" s="163"/>
      <c r="L29" s="148"/>
      <c r="M29" s="148"/>
      <c r="N29" s="164"/>
      <c r="O29" s="172"/>
      <c r="P29" s="173"/>
      <c r="Q29" s="173"/>
      <c r="R29" s="174"/>
      <c r="S29"/>
      <c r="T29" s="131" t="s">
        <v>50</v>
      </c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3"/>
      <c r="AX29" s="18"/>
    </row>
    <row r="30" spans="1:50" ht="20.100000000000001" customHeight="1">
      <c r="A30" s="31"/>
      <c r="B30" s="141"/>
      <c r="C30" s="142"/>
      <c r="D30" s="142"/>
      <c r="E30" s="143"/>
      <c r="F30" s="147"/>
      <c r="G30" s="148"/>
      <c r="H30" s="148"/>
      <c r="I30" s="148"/>
      <c r="J30" s="149"/>
      <c r="K30" s="163"/>
      <c r="L30" s="148"/>
      <c r="M30" s="148"/>
      <c r="N30" s="164"/>
      <c r="O30" s="172"/>
      <c r="P30" s="173"/>
      <c r="Q30" s="173"/>
      <c r="R30" s="174"/>
      <c r="S30"/>
      <c r="T30" s="175" t="s">
        <v>5</v>
      </c>
      <c r="U30" s="128"/>
      <c r="V30" s="128"/>
      <c r="W30" s="128"/>
      <c r="X30" s="128"/>
      <c r="Y30" s="128"/>
      <c r="Z30" s="128"/>
      <c r="AA30" s="128"/>
      <c r="AB30" s="127" t="s">
        <v>51</v>
      </c>
      <c r="AC30" s="127"/>
      <c r="AD30" s="127"/>
      <c r="AE30" s="127" t="s">
        <v>19</v>
      </c>
      <c r="AF30" s="127"/>
      <c r="AG30" s="127"/>
      <c r="AH30" s="80"/>
      <c r="AI30" s="80"/>
      <c r="AJ30" s="80"/>
      <c r="AK30" s="128" t="s">
        <v>32</v>
      </c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9"/>
      <c r="AX30" s="18"/>
    </row>
    <row r="31" spans="1:50" ht="23.25" customHeight="1">
      <c r="A31" s="31"/>
      <c r="B31" s="144"/>
      <c r="C31" s="145"/>
      <c r="D31" s="145"/>
      <c r="E31" s="146"/>
      <c r="F31" s="147"/>
      <c r="G31" s="148"/>
      <c r="H31" s="148"/>
      <c r="I31" s="148"/>
      <c r="J31" s="149"/>
      <c r="K31" s="169"/>
      <c r="L31" s="170"/>
      <c r="M31" s="170"/>
      <c r="N31" s="171"/>
      <c r="O31" s="172"/>
      <c r="P31" s="173"/>
      <c r="Q31" s="173"/>
      <c r="R31" s="174"/>
      <c r="S31"/>
      <c r="T31" s="81">
        <v>1</v>
      </c>
      <c r="U31" s="88" t="e">
        <f>#REF!</f>
        <v>#REF!</v>
      </c>
      <c r="V31" s="88"/>
      <c r="W31" s="88"/>
      <c r="X31" s="88"/>
      <c r="Y31" s="88"/>
      <c r="Z31" s="88"/>
      <c r="AA31" s="88"/>
      <c r="AB31" s="130" t="e">
        <f>#REF!</f>
        <v>#REF!</v>
      </c>
      <c r="AC31" s="130"/>
      <c r="AD31" s="130"/>
      <c r="AE31" s="88" t="e">
        <f>#REF!</f>
        <v>#REF!</v>
      </c>
      <c r="AF31" s="88"/>
      <c r="AG31" s="88"/>
      <c r="AH31" s="126" t="e">
        <f>#REF!</f>
        <v>#REF!</v>
      </c>
      <c r="AI31" s="126"/>
      <c r="AJ31" s="126"/>
      <c r="AK31" s="109" t="s">
        <v>52</v>
      </c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38"/>
      <c r="AX31" s="18"/>
    </row>
    <row r="32" spans="1:50" s="6" customFormat="1" ht="20.100000000000001" customHeight="1">
      <c r="A32" s="31"/>
      <c r="B32" s="141"/>
      <c r="C32" s="142"/>
      <c r="D32" s="142"/>
      <c r="E32" s="143"/>
      <c r="F32" s="147"/>
      <c r="G32" s="148"/>
      <c r="H32" s="148"/>
      <c r="I32" s="148"/>
      <c r="J32" s="149"/>
      <c r="K32" s="169"/>
      <c r="L32" s="170"/>
      <c r="M32" s="170"/>
      <c r="N32" s="171"/>
      <c r="O32" s="172"/>
      <c r="P32" s="173"/>
      <c r="Q32" s="173"/>
      <c r="R32" s="174"/>
      <c r="S32"/>
      <c r="T32" s="82">
        <v>2</v>
      </c>
      <c r="U32" s="89" t="e">
        <f>#REF!</f>
        <v>#REF!</v>
      </c>
      <c r="V32" s="89"/>
      <c r="W32" s="89"/>
      <c r="X32" s="89"/>
      <c r="Y32" s="89"/>
      <c r="Z32" s="89"/>
      <c r="AA32" s="89"/>
      <c r="AB32" s="124" t="e">
        <f>#REF!</f>
        <v>#REF!</v>
      </c>
      <c r="AC32" s="124"/>
      <c r="AD32" s="124"/>
      <c r="AE32" s="88" t="e">
        <f>#REF!</f>
        <v>#REF!</v>
      </c>
      <c r="AF32" s="88"/>
      <c r="AG32" s="88"/>
      <c r="AH32" s="126" t="e">
        <f>#REF!</f>
        <v>#REF!</v>
      </c>
      <c r="AI32" s="126"/>
      <c r="AJ32" s="126"/>
      <c r="AK32" s="89" t="s">
        <v>53</v>
      </c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38"/>
      <c r="AX32" s="18"/>
    </row>
    <row r="33" spans="1:50" s="6" customFormat="1" ht="20.100000000000001" customHeight="1">
      <c r="A33" s="31"/>
      <c r="B33" s="144"/>
      <c r="C33" s="145"/>
      <c r="D33" s="145"/>
      <c r="E33" s="146"/>
      <c r="F33" s="147"/>
      <c r="G33" s="148"/>
      <c r="H33" s="148"/>
      <c r="I33" s="148"/>
      <c r="J33" s="149"/>
      <c r="K33" s="169"/>
      <c r="L33" s="170"/>
      <c r="M33" s="170"/>
      <c r="N33" s="171"/>
      <c r="O33" s="172"/>
      <c r="P33" s="173"/>
      <c r="Q33" s="173"/>
      <c r="R33" s="174"/>
      <c r="S33"/>
      <c r="T33" s="82">
        <v>3</v>
      </c>
      <c r="U33" s="89" t="e">
        <f>#REF!</f>
        <v>#REF!</v>
      </c>
      <c r="V33" s="89"/>
      <c r="W33" s="89"/>
      <c r="X33" s="89"/>
      <c r="Y33" s="89"/>
      <c r="Z33" s="89"/>
      <c r="AA33" s="89"/>
      <c r="AB33" s="124" t="e">
        <f>#REF!</f>
        <v>#REF!</v>
      </c>
      <c r="AC33" s="124"/>
      <c r="AD33" s="124"/>
      <c r="AE33" s="88" t="e">
        <f>#REF!</f>
        <v>#REF!</v>
      </c>
      <c r="AF33" s="88"/>
      <c r="AG33" s="88"/>
      <c r="AH33" s="126" t="e">
        <f>#REF!</f>
        <v>#REF!</v>
      </c>
      <c r="AI33" s="126"/>
      <c r="AJ33" s="126"/>
      <c r="AK33" s="89" t="s">
        <v>54</v>
      </c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38"/>
      <c r="AX33" s="18"/>
    </row>
    <row r="34" spans="1:50" s="6" customFormat="1" ht="20.100000000000001" customHeight="1">
      <c r="A34" s="31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82">
        <v>4</v>
      </c>
      <c r="U34" s="89" t="e">
        <f>#REF!</f>
        <v>#REF!</v>
      </c>
      <c r="V34" s="89"/>
      <c r="W34" s="89"/>
      <c r="X34" s="89"/>
      <c r="Y34" s="89"/>
      <c r="Z34" s="89"/>
      <c r="AA34" s="89"/>
      <c r="AB34" s="124" t="e">
        <f>#REF!</f>
        <v>#REF!</v>
      </c>
      <c r="AC34" s="124"/>
      <c r="AD34" s="124"/>
      <c r="AE34" s="88" t="e">
        <f>#REF!</f>
        <v>#REF!</v>
      </c>
      <c r="AF34" s="88"/>
      <c r="AG34" s="88"/>
      <c r="AH34" s="126" t="e">
        <f>#REF!</f>
        <v>#REF!</v>
      </c>
      <c r="AI34" s="126"/>
      <c r="AJ34" s="126"/>
      <c r="AK34" s="89" t="s">
        <v>52</v>
      </c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38"/>
      <c r="AX34" s="18"/>
    </row>
    <row r="35" spans="1:50" s="16" customFormat="1" ht="20.100000000000001" customHeight="1">
      <c r="A35" s="31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82">
        <v>5</v>
      </c>
      <c r="U35" s="89" t="e">
        <f>#REF!</f>
        <v>#REF!</v>
      </c>
      <c r="V35" s="89"/>
      <c r="W35" s="89"/>
      <c r="X35" s="89"/>
      <c r="Y35" s="89"/>
      <c r="Z35" s="89"/>
      <c r="AA35" s="89"/>
      <c r="AB35" s="124" t="e">
        <f>#REF!</f>
        <v>#REF!</v>
      </c>
      <c r="AC35" s="124"/>
      <c r="AD35" s="124"/>
      <c r="AE35" s="88" t="e">
        <f>#REF!</f>
        <v>#REF!</v>
      </c>
      <c r="AF35" s="88"/>
      <c r="AG35" s="88"/>
      <c r="AH35" s="126" t="e">
        <f>#REF!</f>
        <v>#REF!</v>
      </c>
      <c r="AI35" s="126"/>
      <c r="AJ35" s="126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38"/>
      <c r="AX35" s="18"/>
    </row>
    <row r="36" spans="1:50" s="20" customFormat="1" ht="20.100000000000001" customHeight="1">
      <c r="A36" s="31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82">
        <v>6</v>
      </c>
      <c r="U36" s="89" t="e">
        <f>#REF!</f>
        <v>#REF!</v>
      </c>
      <c r="V36" s="89"/>
      <c r="W36" s="89"/>
      <c r="X36" s="89"/>
      <c r="Y36" s="89"/>
      <c r="Z36" s="89"/>
      <c r="AA36" s="89"/>
      <c r="AB36" s="124" t="e">
        <f>#REF!</f>
        <v>#REF!</v>
      </c>
      <c r="AC36" s="124"/>
      <c r="AD36" s="124"/>
      <c r="AE36" s="88" t="e">
        <f>#REF!</f>
        <v>#REF!</v>
      </c>
      <c r="AF36" s="88"/>
      <c r="AG36" s="88"/>
      <c r="AH36" s="126" t="e">
        <f>#REF!</f>
        <v>#REF!</v>
      </c>
      <c r="AI36" s="126"/>
      <c r="AJ36" s="126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38"/>
      <c r="AX36" s="18"/>
    </row>
    <row r="37" spans="1:50" s="16" customFormat="1" ht="20.100000000000001" customHeight="1">
      <c r="A37" s="31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s="82">
        <v>7</v>
      </c>
      <c r="U37" s="176" t="e">
        <f>#REF!</f>
        <v>#REF!</v>
      </c>
      <c r="V37" s="176"/>
      <c r="W37" s="176"/>
      <c r="X37" s="176"/>
      <c r="Y37" s="176"/>
      <c r="Z37" s="176"/>
      <c r="AA37" s="176"/>
      <c r="AB37" s="124" t="e">
        <f>#REF!</f>
        <v>#REF!</v>
      </c>
      <c r="AC37" s="124"/>
      <c r="AD37" s="124"/>
      <c r="AE37" s="88" t="e">
        <f>#REF!</f>
        <v>#REF!</v>
      </c>
      <c r="AF37" s="88"/>
      <c r="AG37" s="88"/>
      <c r="AH37" s="126" t="e">
        <f>#REF!</f>
        <v>#REF!</v>
      </c>
      <c r="AI37" s="126"/>
      <c r="AJ37" s="126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38"/>
      <c r="AX37" s="18"/>
    </row>
    <row r="38" spans="1:50" s="16" customFormat="1" ht="20.100000000000001" customHeight="1">
      <c r="A38" s="31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s="40"/>
      <c r="U38" s="83"/>
      <c r="V38" s="83"/>
      <c r="W38" s="83"/>
      <c r="X38" s="83"/>
      <c r="Y38" s="83"/>
      <c r="Z38" s="83"/>
      <c r="AA38" s="83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41"/>
      <c r="AX38" s="18"/>
    </row>
    <row r="39" spans="1:50" s="16" customFormat="1" ht="20.100000000000001" customHeight="1">
      <c r="A39" s="31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8"/>
    </row>
    <row r="40" spans="1:50" s="16" customFormat="1" ht="20.100000000000001" customHeight="1">
      <c r="A40" s="31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8"/>
    </row>
    <row r="41" spans="1:50" s="16" customFormat="1" ht="20.100000000000001" customHeight="1">
      <c r="A41" s="48"/>
      <c r="B41" s="43"/>
      <c r="C41" s="43"/>
      <c r="D41" s="43"/>
      <c r="E41" s="43"/>
      <c r="F41" s="47"/>
      <c r="G41" s="47"/>
      <c r="H41" s="42"/>
      <c r="I41" s="42"/>
      <c r="J41" s="42"/>
      <c r="K41" s="42"/>
      <c r="L41" s="42"/>
      <c r="M41" s="42"/>
      <c r="N41" s="42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 s="42"/>
      <c r="AX41" s="46"/>
    </row>
    <row r="42" spans="1:50" s="16" customFormat="1" ht="20.100000000000001" customHeight="1">
      <c r="A42" s="117" t="s">
        <v>21</v>
      </c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 t="s">
        <v>22</v>
      </c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9" t="s">
        <v>23</v>
      </c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1"/>
    </row>
    <row r="43" spans="1:50" s="20" customFormat="1" ht="20.100000000000001" customHeight="1">
      <c r="A43" s="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4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54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28"/>
    </row>
    <row r="44" spans="1:50" s="20" customFormat="1" ht="20.100000000000001" customHeight="1">
      <c r="A44" s="21"/>
      <c r="B44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/>
      <c r="Q44" s="45"/>
      <c r="R44"/>
      <c r="S44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/>
      <c r="AH44" s="45"/>
      <c r="AI44"/>
      <c r="AJ44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28"/>
    </row>
    <row r="45" spans="1:50" s="8" customFormat="1" ht="18" customHeight="1">
      <c r="A45" s="24"/>
      <c r="B45" s="30"/>
      <c r="C45" s="56" t="s">
        <v>24</v>
      </c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t="s">
        <v>25</v>
      </c>
      <c r="P45"/>
      <c r="Q45" s="45"/>
      <c r="R45"/>
      <c r="S45"/>
      <c r="T45" s="56" t="s">
        <v>24</v>
      </c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t="s">
        <v>25</v>
      </c>
      <c r="AG45"/>
      <c r="AH45" s="45"/>
      <c r="AI45"/>
      <c r="AJ45"/>
      <c r="AK45" s="56" t="s">
        <v>24</v>
      </c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t="s">
        <v>25</v>
      </c>
      <c r="AX45" s="33"/>
    </row>
    <row r="46" spans="1:50" s="16" customFormat="1" ht="20.100000000000001" customHeight="1">
      <c r="A46" s="22"/>
      <c r="B46" s="30"/>
      <c r="C46"/>
      <c r="D46" s="89" t="s">
        <v>55</v>
      </c>
      <c r="E46" s="89"/>
      <c r="F46" s="89"/>
      <c r="G46" s="57" t="s">
        <v>26</v>
      </c>
      <c r="H46" s="89" t="s">
        <v>13</v>
      </c>
      <c r="I46" s="89"/>
      <c r="J46" s="89"/>
      <c r="K46" s="57" t="s">
        <v>26</v>
      </c>
      <c r="L46" s="89" t="s">
        <v>56</v>
      </c>
      <c r="M46" s="89"/>
      <c r="N46" s="89"/>
      <c r="O46"/>
      <c r="P46"/>
      <c r="Q46" s="45"/>
      <c r="R46"/>
      <c r="S46"/>
      <c r="T46"/>
      <c r="U46" s="89" t="s">
        <v>55</v>
      </c>
      <c r="V46" s="89"/>
      <c r="W46" s="89"/>
      <c r="X46" s="57" t="s">
        <v>26</v>
      </c>
      <c r="Y46" s="89" t="s">
        <v>13</v>
      </c>
      <c r="Z46" s="89"/>
      <c r="AA46" s="89"/>
      <c r="AB46" s="57" t="s">
        <v>26</v>
      </c>
      <c r="AC46" s="89" t="s">
        <v>56</v>
      </c>
      <c r="AD46" s="89"/>
      <c r="AE46" s="89"/>
      <c r="AF46"/>
      <c r="AG46"/>
      <c r="AH46" s="45"/>
      <c r="AI46"/>
      <c r="AJ46"/>
      <c r="AK46"/>
      <c r="AL46" s="89" t="s">
        <v>55</v>
      </c>
      <c r="AM46" s="89"/>
      <c r="AN46" s="89"/>
      <c r="AO46" s="57" t="s">
        <v>26</v>
      </c>
      <c r="AP46" s="89" t="s">
        <v>13</v>
      </c>
      <c r="AQ46" s="89"/>
      <c r="AR46" s="89"/>
      <c r="AS46" s="57" t="s">
        <v>26</v>
      </c>
      <c r="AT46" s="89" t="s">
        <v>56</v>
      </c>
      <c r="AU46" s="89"/>
      <c r="AV46" s="89"/>
      <c r="AW46"/>
      <c r="AX46" s="33"/>
    </row>
    <row r="47" spans="1:50" s="25" customFormat="1" ht="21.75" customHeight="1" thickBot="1">
      <c r="A47" s="51"/>
      <c r="B47" s="4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5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5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34"/>
    </row>
    <row r="49" spans="12:44">
      <c r="L49" s="26"/>
      <c r="AR49" s="29"/>
    </row>
  </sheetData>
  <dataConsolidate/>
  <mergeCells count="141">
    <mergeCell ref="O33:R33"/>
    <mergeCell ref="U33:AA33"/>
    <mergeCell ref="AB33:AD33"/>
    <mergeCell ref="AE33:AG33"/>
    <mergeCell ref="AH33:AJ33"/>
    <mergeCell ref="AK33:AV33"/>
    <mergeCell ref="AK36:AV36"/>
    <mergeCell ref="U37:AA37"/>
    <mergeCell ref="AB37:AD37"/>
    <mergeCell ref="AE37:AG37"/>
    <mergeCell ref="AH37:AJ37"/>
    <mergeCell ref="AK37:AV37"/>
    <mergeCell ref="AH34:AJ34"/>
    <mergeCell ref="AK34:AV34"/>
    <mergeCell ref="U35:AA35"/>
    <mergeCell ref="AB35:AD35"/>
    <mergeCell ref="AE35:AG35"/>
    <mergeCell ref="AH35:AJ35"/>
    <mergeCell ref="AK35:AV35"/>
    <mergeCell ref="U34:AA34"/>
    <mergeCell ref="AE31:AG31"/>
    <mergeCell ref="AH31:AJ31"/>
    <mergeCell ref="AK31:AV31"/>
    <mergeCell ref="B32:E33"/>
    <mergeCell ref="F32:J32"/>
    <mergeCell ref="K32:N32"/>
    <mergeCell ref="O32:R32"/>
    <mergeCell ref="U32:AA32"/>
    <mergeCell ref="AB32:AD32"/>
    <mergeCell ref="AE32:AG32"/>
    <mergeCell ref="B30:E31"/>
    <mergeCell ref="F30:J30"/>
    <mergeCell ref="K30:N30"/>
    <mergeCell ref="O30:R30"/>
    <mergeCell ref="T30:AA30"/>
    <mergeCell ref="AB30:AD30"/>
    <mergeCell ref="F31:J31"/>
    <mergeCell ref="K31:N31"/>
    <mergeCell ref="O31:R31"/>
    <mergeCell ref="U31:AA31"/>
    <mergeCell ref="AH32:AJ32"/>
    <mergeCell ref="AK32:AV32"/>
    <mergeCell ref="F33:J33"/>
    <mergeCell ref="K33:N33"/>
    <mergeCell ref="B28:E29"/>
    <mergeCell ref="F28:J28"/>
    <mergeCell ref="K28:N28"/>
    <mergeCell ref="O28:R28"/>
    <mergeCell ref="F29:J29"/>
    <mergeCell ref="K29:N29"/>
    <mergeCell ref="O29:R29"/>
    <mergeCell ref="B26:E27"/>
    <mergeCell ref="F26:J26"/>
    <mergeCell ref="K26:N26"/>
    <mergeCell ref="O26:R26"/>
    <mergeCell ref="F27:J27"/>
    <mergeCell ref="K27:N27"/>
    <mergeCell ref="O27:R27"/>
    <mergeCell ref="O20:R20"/>
    <mergeCell ref="F21:J21"/>
    <mergeCell ref="K21:N21"/>
    <mergeCell ref="O21:R21"/>
    <mergeCell ref="B24:E25"/>
    <mergeCell ref="F24:J24"/>
    <mergeCell ref="K24:N24"/>
    <mergeCell ref="O24:R24"/>
    <mergeCell ref="F25:J25"/>
    <mergeCell ref="K25:N25"/>
    <mergeCell ref="O25:R25"/>
    <mergeCell ref="B22:E23"/>
    <mergeCell ref="F22:J22"/>
    <mergeCell ref="K22:N22"/>
    <mergeCell ref="O22:R22"/>
    <mergeCell ref="F23:J23"/>
    <mergeCell ref="K23:N23"/>
    <mergeCell ref="O23:R23"/>
    <mergeCell ref="B39:AW39"/>
    <mergeCell ref="B40:AW40"/>
    <mergeCell ref="U36:AA36"/>
    <mergeCell ref="AB36:AD36"/>
    <mergeCell ref="AC11:AS11"/>
    <mergeCell ref="AT11:AV11"/>
    <mergeCell ref="AC12:AS12"/>
    <mergeCell ref="AT12:AV12"/>
    <mergeCell ref="AH13:AS13"/>
    <mergeCell ref="AT13:AV13"/>
    <mergeCell ref="AE36:AG36"/>
    <mergeCell ref="AH36:AJ36"/>
    <mergeCell ref="AB34:AD34"/>
    <mergeCell ref="AE34:AG34"/>
    <mergeCell ref="AE30:AG30"/>
    <mergeCell ref="AK30:AW30"/>
    <mergeCell ref="AB31:AD31"/>
    <mergeCell ref="T29:AW29"/>
    <mergeCell ref="B19:J19"/>
    <mergeCell ref="K19:N19"/>
    <mergeCell ref="O19:R19"/>
    <mergeCell ref="B20:E21"/>
    <mergeCell ref="F20:J20"/>
    <mergeCell ref="K20:N20"/>
    <mergeCell ref="D46:F46"/>
    <mergeCell ref="H46:J46"/>
    <mergeCell ref="L46:N46"/>
    <mergeCell ref="U46:W46"/>
    <mergeCell ref="Y46:AA46"/>
    <mergeCell ref="AC46:AE46"/>
    <mergeCell ref="A42:Q42"/>
    <mergeCell ref="R42:AH42"/>
    <mergeCell ref="AI42:AX42"/>
    <mergeCell ref="C44:O44"/>
    <mergeCell ref="D45:N45"/>
    <mergeCell ref="U45:AE45"/>
    <mergeCell ref="AL45:AV45"/>
    <mergeCell ref="AL46:AN46"/>
    <mergeCell ref="AP46:AR46"/>
    <mergeCell ref="AT46:AV46"/>
    <mergeCell ref="B18:J18"/>
    <mergeCell ref="K18:N18"/>
    <mergeCell ref="O18:R18"/>
    <mergeCell ref="I12:Q12"/>
    <mergeCell ref="I13:Q13"/>
    <mergeCell ref="I10:Q10"/>
    <mergeCell ref="I11:Q11"/>
    <mergeCell ref="W10:AA10"/>
    <mergeCell ref="AB10:AV10"/>
    <mergeCell ref="F6:Q6"/>
    <mergeCell ref="I7:Q7"/>
    <mergeCell ref="I8:Q8"/>
    <mergeCell ref="I9:Q9"/>
    <mergeCell ref="AG9:AI9"/>
    <mergeCell ref="N1:AH3"/>
    <mergeCell ref="AP1:AX1"/>
    <mergeCell ref="AP2:AX2"/>
    <mergeCell ref="AP3:AX3"/>
    <mergeCell ref="W7:AA7"/>
    <mergeCell ref="AB7:AV7"/>
    <mergeCell ref="V6:AW6"/>
    <mergeCell ref="AB8:AV8"/>
    <mergeCell ref="W9:Z9"/>
    <mergeCell ref="AA9:AB9"/>
    <mergeCell ref="AD9:AE9"/>
  </mergeCells>
  <printOptions horizontalCentered="1" verticalCentered="1"/>
  <pageMargins left="0" right="0.19" top="0" bottom="0" header="0" footer="0"/>
  <pageSetup paperSize="9" scale="90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'C:\Users\pc1\Desktop\[Leakage Test Sheet.xlsx]Part Number Data'!#REF!</xm:f>
          </x14:formula1>
          <xm:sqref>S22:U23 U20:U21</xm:sqref>
        </x14:dataValidation>
        <x14:dataValidation type="list" allowBlank="1" showInputMessage="1" showErrorMessage="1" xr:uid="{00000000-0002-0000-0500-000001000000}">
          <x14:formula1>
            <xm:f>'Cal Sheet'!$N$2:$N$9</xm:f>
          </x14:formula1>
          <xm:sqref>B20:E33</xm:sqref>
        </x14:dataValidation>
        <x14:dataValidation type="list" allowBlank="1" showInputMessage="1" showErrorMessage="1" xr:uid="{00000000-0002-0000-0500-000002000000}">
          <x14:formula1>
            <xm:f>'Part Number Data'!$Q$2:$Q$26</xm:f>
          </x14:formula1>
          <xm:sqref>K20:K33</xm:sqref>
        </x14:dataValidation>
        <x14:dataValidation type="list" allowBlank="1" showInputMessage="1" showErrorMessage="1" xr:uid="{00000000-0002-0000-0500-000003000000}">
          <x14:formula1>
            <xm:f>'Part Number Data'!$O$2:$O$6</xm:f>
          </x14:formula1>
          <xm:sqref>F20:J33</xm:sqref>
        </x14:dataValidation>
        <x14:dataValidation type="list" allowBlank="1" showInputMessage="1" showErrorMessage="1" xr:uid="{00000000-0002-0000-0500-000004000000}">
          <x14:formula1>
            <xm:f>'Part Number Data'!$P$2:$P$17</xm:f>
          </x14:formula1>
          <xm:sqref>O20:O33</xm:sqref>
        </x14:dataValidation>
        <x14:dataValidation type="list" allowBlank="1" showInputMessage="1" showErrorMessage="1" xr:uid="{00000000-0002-0000-0500-000005000000}">
          <x14:formula1>
            <xm:f>'Part Number Data'!$R$2:$R$5</xm:f>
          </x14:formula1>
          <xm:sqref>AK31:AV37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"/>
  <sheetViews>
    <sheetView tabSelected="1" zoomScale="85" zoomScaleNormal="85" workbookViewId="0">
      <selection activeCell="T9" sqref="T9"/>
    </sheetView>
  </sheetViews>
  <sheetFormatPr defaultRowHeight="21"/>
  <cols>
    <col min="2" max="2" width="24.6640625" bestFit="1" customWidth="1"/>
    <col min="3" max="3" width="40" bestFit="1" customWidth="1"/>
    <col min="4" max="4" width="11.5" bestFit="1" customWidth="1"/>
    <col min="5" max="5" width="11.33203125" bestFit="1" customWidth="1"/>
    <col min="6" max="6" width="10.6640625" bestFit="1" customWidth="1"/>
    <col min="7" max="7" width="12" bestFit="1" customWidth="1"/>
    <col min="12" max="12" width="10.5" bestFit="1" customWidth="1"/>
    <col min="14" max="14" width="29.5" bestFit="1" customWidth="1"/>
    <col min="18" max="18" width="30.5" customWidth="1"/>
    <col min="20" max="21" width="14.5" customWidth="1"/>
  </cols>
  <sheetData>
    <row r="1" spans="1:21">
      <c r="A1" s="30"/>
      <c r="B1" s="30" t="s">
        <v>57</v>
      </c>
      <c r="C1" s="30" t="s">
        <v>58</v>
      </c>
      <c r="D1" s="30" t="s">
        <v>59</v>
      </c>
      <c r="E1" s="30" t="s">
        <v>60</v>
      </c>
      <c r="F1" s="30" t="s">
        <v>61</v>
      </c>
      <c r="G1" s="30" t="s">
        <v>62</v>
      </c>
      <c r="H1" s="30" t="s">
        <v>63</v>
      </c>
      <c r="I1" s="30" t="s">
        <v>64</v>
      </c>
      <c r="J1" s="30" t="s">
        <v>65</v>
      </c>
      <c r="K1" s="30" t="s">
        <v>66</v>
      </c>
      <c r="L1" s="30" t="s">
        <v>67</v>
      </c>
      <c r="M1" s="30" t="s">
        <v>68</v>
      </c>
      <c r="N1" s="30" t="s">
        <v>18</v>
      </c>
      <c r="O1" s="30" t="s">
        <v>69</v>
      </c>
      <c r="P1" s="30" t="s">
        <v>70</v>
      </c>
      <c r="Q1" s="30" t="s">
        <v>71</v>
      </c>
      <c r="R1" s="30" t="s">
        <v>72</v>
      </c>
      <c r="T1" s="30" t="s">
        <v>73</v>
      </c>
      <c r="U1" s="30" t="s">
        <v>74</v>
      </c>
    </row>
    <row r="2" spans="1:21">
      <c r="A2" s="30"/>
      <c r="L2" s="30"/>
    </row>
    <row r="3" spans="1:21">
      <c r="A3" s="30">
        <v>1</v>
      </c>
      <c r="B3" s="30" t="s">
        <v>75</v>
      </c>
      <c r="C3" s="30" t="s">
        <v>76</v>
      </c>
      <c r="D3" s="30" t="s">
        <v>8</v>
      </c>
      <c r="E3" s="30" t="s">
        <v>33</v>
      </c>
      <c r="F3" s="30" t="s">
        <v>77</v>
      </c>
      <c r="G3" s="30" t="s">
        <v>7</v>
      </c>
      <c r="H3" s="30" t="s">
        <v>78</v>
      </c>
      <c r="I3" s="30" t="s">
        <v>33</v>
      </c>
      <c r="J3" s="30" t="s">
        <v>80</v>
      </c>
      <c r="K3" s="30" t="s">
        <v>81</v>
      </c>
      <c r="L3" s="30" t="s">
        <v>82</v>
      </c>
      <c r="M3" s="30" t="s">
        <v>20</v>
      </c>
      <c r="N3" s="30" t="s">
        <v>83</v>
      </c>
      <c r="O3" s="30" t="s">
        <v>45</v>
      </c>
      <c r="P3" s="30">
        <v>1</v>
      </c>
      <c r="Q3" s="30">
        <v>0</v>
      </c>
      <c r="R3" s="30" t="s">
        <v>52</v>
      </c>
      <c r="T3" s="30" t="s">
        <v>4</v>
      </c>
      <c r="U3" s="30" t="s">
        <v>85</v>
      </c>
    </row>
    <row r="4" spans="1:21">
      <c r="A4" s="30">
        <v>2</v>
      </c>
      <c r="B4" s="30" t="s">
        <v>86</v>
      </c>
      <c r="C4" s="30" t="s">
        <v>87</v>
      </c>
      <c r="D4" s="30" t="s">
        <v>9</v>
      </c>
      <c r="E4" s="30" t="s">
        <v>88</v>
      </c>
      <c r="F4" s="30" t="s">
        <v>89</v>
      </c>
      <c r="G4" s="30" t="s">
        <v>34</v>
      </c>
      <c r="H4" s="30" t="s">
        <v>90</v>
      </c>
      <c r="I4" s="30" t="s">
        <v>79</v>
      </c>
      <c r="J4" s="30" t="s">
        <v>17</v>
      </c>
      <c r="K4" s="30" t="s">
        <v>91</v>
      </c>
      <c r="L4" s="30" t="s">
        <v>92</v>
      </c>
      <c r="M4" s="30" t="s">
        <v>68</v>
      </c>
      <c r="N4" s="30" t="s">
        <v>93</v>
      </c>
      <c r="O4" s="30" t="s">
        <v>47</v>
      </c>
      <c r="P4" s="30">
        <f>P3+1</f>
        <v>2</v>
      </c>
      <c r="Q4" s="30">
        <v>1</v>
      </c>
      <c r="R4" s="30" t="s">
        <v>53</v>
      </c>
      <c r="T4" s="30" t="s">
        <v>84</v>
      </c>
      <c r="U4" s="87" t="s">
        <v>94</v>
      </c>
    </row>
    <row r="5" spans="1:21">
      <c r="A5" s="30">
        <v>3</v>
      </c>
      <c r="B5" s="30" t="s">
        <v>95</v>
      </c>
      <c r="C5" s="30" t="s">
        <v>96</v>
      </c>
      <c r="D5" s="30" t="s">
        <v>10</v>
      </c>
      <c r="E5" s="30" t="s">
        <v>97</v>
      </c>
      <c r="F5" s="30" t="s">
        <v>98</v>
      </c>
      <c r="G5" s="30" t="s">
        <v>99</v>
      </c>
      <c r="H5" s="30" t="s">
        <v>100</v>
      </c>
      <c r="J5" s="30" t="s">
        <v>101</v>
      </c>
      <c r="K5" s="30" t="s">
        <v>102</v>
      </c>
      <c r="L5" s="30" t="s">
        <v>103</v>
      </c>
      <c r="M5" s="30" t="s">
        <v>104</v>
      </c>
      <c r="N5" s="30" t="s">
        <v>105</v>
      </c>
      <c r="O5" s="30" t="s">
        <v>46</v>
      </c>
      <c r="P5" s="30">
        <f t="shared" ref="P5:P12" si="0">P4+1</f>
        <v>3</v>
      </c>
      <c r="Q5" s="30">
        <v>2</v>
      </c>
      <c r="R5" s="30" t="s">
        <v>54</v>
      </c>
      <c r="U5" s="87" t="s">
        <v>106</v>
      </c>
    </row>
    <row r="6" spans="1:21">
      <c r="A6" s="30">
        <v>4</v>
      </c>
      <c r="B6" s="30" t="s">
        <v>107</v>
      </c>
      <c r="C6" s="30" t="s">
        <v>108</v>
      </c>
      <c r="D6" s="30" t="s">
        <v>11</v>
      </c>
      <c r="F6" s="30" t="s">
        <v>6</v>
      </c>
      <c r="H6" s="30" t="s">
        <v>109</v>
      </c>
      <c r="J6" s="30" t="s">
        <v>110</v>
      </c>
      <c r="K6" s="30" t="s">
        <v>111</v>
      </c>
      <c r="L6" s="30" t="s">
        <v>112</v>
      </c>
      <c r="M6" s="30" t="s">
        <v>113</v>
      </c>
      <c r="O6" s="30" t="s">
        <v>49</v>
      </c>
      <c r="P6" s="30">
        <f t="shared" si="0"/>
        <v>4</v>
      </c>
      <c r="Q6" s="30">
        <v>3</v>
      </c>
      <c r="R6" s="30" t="s">
        <v>114</v>
      </c>
      <c r="U6" s="87" t="s">
        <v>115</v>
      </c>
    </row>
    <row r="7" spans="1:21">
      <c r="A7" s="30">
        <v>5</v>
      </c>
      <c r="B7" s="30" t="s">
        <v>116</v>
      </c>
      <c r="C7" s="30" t="s">
        <v>117</v>
      </c>
      <c r="D7" s="30" t="s">
        <v>12</v>
      </c>
      <c r="F7" s="30" t="s">
        <v>118</v>
      </c>
      <c r="H7" s="30" t="s">
        <v>119</v>
      </c>
      <c r="J7" s="30" t="s">
        <v>120</v>
      </c>
      <c r="K7" s="30" t="s">
        <v>121</v>
      </c>
      <c r="M7" s="30" t="s">
        <v>122</v>
      </c>
      <c r="P7" s="30">
        <f t="shared" si="0"/>
        <v>5</v>
      </c>
      <c r="Q7" s="30">
        <v>4</v>
      </c>
      <c r="R7" s="30" t="s">
        <v>123</v>
      </c>
      <c r="U7" s="87" t="s">
        <v>124</v>
      </c>
    </row>
    <row r="8" spans="1:21">
      <c r="A8" s="30">
        <v>6</v>
      </c>
      <c r="B8" s="30" t="s">
        <v>125</v>
      </c>
      <c r="C8" s="30" t="s">
        <v>126</v>
      </c>
      <c r="F8" s="30" t="s">
        <v>127</v>
      </c>
      <c r="J8" s="30" t="s">
        <v>128</v>
      </c>
      <c r="K8" s="30" t="s">
        <v>129</v>
      </c>
      <c r="M8" s="30" t="s">
        <v>130</v>
      </c>
      <c r="P8" s="30">
        <f t="shared" si="0"/>
        <v>6</v>
      </c>
      <c r="Q8" s="30">
        <v>5</v>
      </c>
      <c r="U8" s="87" t="s">
        <v>131</v>
      </c>
    </row>
    <row r="9" spans="1:21">
      <c r="A9" s="30">
        <v>7</v>
      </c>
      <c r="B9" s="30" t="s">
        <v>132</v>
      </c>
      <c r="F9" s="30" t="s">
        <v>133</v>
      </c>
      <c r="J9" s="30" t="s">
        <v>134</v>
      </c>
      <c r="K9" s="30" t="s">
        <v>135</v>
      </c>
      <c r="P9" s="30">
        <f t="shared" si="0"/>
        <v>7</v>
      </c>
      <c r="Q9" s="30">
        <v>6</v>
      </c>
      <c r="U9" s="87" t="s">
        <v>136</v>
      </c>
    </row>
    <row r="10" spans="1:21">
      <c r="A10" s="30">
        <v>8</v>
      </c>
      <c r="B10" s="30" t="s">
        <v>137</v>
      </c>
      <c r="F10" s="30" t="s">
        <v>138</v>
      </c>
      <c r="K10" s="30" t="s">
        <v>139</v>
      </c>
      <c r="P10" s="30">
        <f t="shared" si="0"/>
        <v>8</v>
      </c>
      <c r="Q10" s="30">
        <v>7</v>
      </c>
      <c r="U10" s="87" t="s">
        <v>140</v>
      </c>
    </row>
    <row r="11" spans="1:21">
      <c r="A11" s="30">
        <v>9</v>
      </c>
      <c r="B11" s="30" t="s">
        <v>141</v>
      </c>
      <c r="F11" s="30" t="s">
        <v>142</v>
      </c>
      <c r="K11" s="30" t="s">
        <v>143</v>
      </c>
      <c r="P11" s="30">
        <f>P10+1</f>
        <v>9</v>
      </c>
      <c r="Q11" s="30">
        <v>8</v>
      </c>
      <c r="U11" s="87" t="s">
        <v>144</v>
      </c>
    </row>
    <row r="12" spans="1:21">
      <c r="A12" s="30">
        <v>10</v>
      </c>
      <c r="B12" s="30" t="s">
        <v>145</v>
      </c>
      <c r="F12" s="30" t="s">
        <v>146</v>
      </c>
      <c r="K12" s="30" t="s">
        <v>147</v>
      </c>
      <c r="P12" s="30">
        <f t="shared" si="0"/>
        <v>10</v>
      </c>
      <c r="Q12" s="30">
        <v>9</v>
      </c>
      <c r="U12" s="87" t="s">
        <v>148</v>
      </c>
    </row>
    <row r="13" spans="1:21">
      <c r="A13" s="30">
        <v>11</v>
      </c>
      <c r="B13" s="30" t="s">
        <v>149</v>
      </c>
      <c r="K13" s="30" t="s">
        <v>150</v>
      </c>
      <c r="P13" s="30">
        <f>P12+5</f>
        <v>15</v>
      </c>
      <c r="Q13" s="30">
        <v>10</v>
      </c>
      <c r="U13" s="87" t="s">
        <v>140</v>
      </c>
    </row>
    <row r="14" spans="1:21">
      <c r="A14" s="30">
        <v>12</v>
      </c>
      <c r="B14" s="30" t="s">
        <v>151</v>
      </c>
      <c r="K14" s="30" t="s">
        <v>152</v>
      </c>
      <c r="P14" s="30">
        <f t="shared" ref="P14:P15" si="1">P13+5</f>
        <v>20</v>
      </c>
      <c r="Q14" s="30">
        <v>15</v>
      </c>
      <c r="U14" s="87" t="s">
        <v>153</v>
      </c>
    </row>
    <row r="15" spans="1:21">
      <c r="A15" s="30">
        <v>13</v>
      </c>
      <c r="B15" s="30" t="s">
        <v>154</v>
      </c>
      <c r="P15" s="30">
        <f t="shared" si="1"/>
        <v>25</v>
      </c>
      <c r="Q15" s="30">
        <v>20</v>
      </c>
      <c r="U15" s="87" t="s">
        <v>155</v>
      </c>
    </row>
    <row r="16" spans="1:21">
      <c r="A16" s="30">
        <v>14</v>
      </c>
      <c r="B16" s="30" t="s">
        <v>156</v>
      </c>
      <c r="P16" s="30">
        <f>P15+5</f>
        <v>30</v>
      </c>
      <c r="Q16" s="30">
        <v>25</v>
      </c>
      <c r="U16" s="86"/>
    </row>
    <row r="17" spans="1:21">
      <c r="A17" s="30">
        <v>15</v>
      </c>
      <c r="B17" s="30" t="s">
        <v>157</v>
      </c>
      <c r="P17" s="30">
        <f>P16+30</f>
        <v>60</v>
      </c>
      <c r="Q17" s="30">
        <v>30</v>
      </c>
      <c r="U17" s="86"/>
    </row>
    <row r="18" spans="1:21">
      <c r="A18" s="30">
        <v>16</v>
      </c>
      <c r="B18" s="30" t="s">
        <v>158</v>
      </c>
      <c r="Q18" s="30">
        <v>35</v>
      </c>
      <c r="U18" s="86"/>
    </row>
    <row r="19" spans="1:21">
      <c r="A19" s="30">
        <v>17</v>
      </c>
      <c r="B19" s="30" t="s">
        <v>159</v>
      </c>
      <c r="Q19" s="30">
        <v>40</v>
      </c>
      <c r="U19" s="86"/>
    </row>
    <row r="20" spans="1:21">
      <c r="A20" s="30">
        <v>18</v>
      </c>
      <c r="B20" s="30" t="s">
        <v>160</v>
      </c>
      <c r="Q20" s="30">
        <v>45</v>
      </c>
      <c r="U20" s="86"/>
    </row>
    <row r="21" spans="1:21">
      <c r="A21" s="30">
        <v>19</v>
      </c>
      <c r="B21" s="30" t="s">
        <v>161</v>
      </c>
      <c r="Q21" s="30">
        <v>50</v>
      </c>
      <c r="U21" s="86"/>
    </row>
    <row r="22" spans="1:21">
      <c r="A22" s="30">
        <v>20</v>
      </c>
      <c r="B22" s="30" t="s">
        <v>162</v>
      </c>
      <c r="Q22" s="30">
        <v>55</v>
      </c>
      <c r="U22" s="86"/>
    </row>
    <row r="23" spans="1:21">
      <c r="A23" s="30">
        <v>21</v>
      </c>
      <c r="B23" s="30" t="s">
        <v>163</v>
      </c>
      <c r="Q23" s="30">
        <v>60</v>
      </c>
    </row>
    <row r="24" spans="1:21">
      <c r="A24" s="30">
        <v>22</v>
      </c>
      <c r="B24" s="30" t="s">
        <v>164</v>
      </c>
      <c r="Q24" s="30">
        <v>65</v>
      </c>
    </row>
    <row r="25" spans="1:21">
      <c r="A25" s="30">
        <v>23</v>
      </c>
      <c r="B25" s="30" t="s">
        <v>165</v>
      </c>
      <c r="Q25" s="30">
        <v>68.900000000000006</v>
      </c>
    </row>
    <row r="26" spans="1:21">
      <c r="A26" s="30">
        <v>24</v>
      </c>
      <c r="B26" s="30" t="s">
        <v>166</v>
      </c>
      <c r="Q26" s="30"/>
    </row>
    <row r="27" spans="1:21">
      <c r="A27" s="30">
        <v>25</v>
      </c>
      <c r="B27" s="30" t="s">
        <v>167</v>
      </c>
    </row>
    <row r="28" spans="1:21">
      <c r="B28" s="30" t="s">
        <v>168</v>
      </c>
    </row>
    <row r="29" spans="1:21">
      <c r="B29" s="30" t="s">
        <v>169</v>
      </c>
    </row>
    <row r="30" spans="1:21">
      <c r="B30" s="30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>
      <selection activeCell="N15" sqref="N15"/>
    </sheetView>
  </sheetViews>
  <sheetFormatPr defaultRowHeight="21"/>
  <sheetData>
    <row r="1" spans="1:14">
      <c r="A1" s="177" t="s">
        <v>35</v>
      </c>
      <c r="B1" s="177"/>
      <c r="C1" s="177"/>
      <c r="D1" s="177"/>
      <c r="E1" s="177"/>
      <c r="F1" s="177"/>
      <c r="G1" s="177"/>
      <c r="H1" s="177"/>
      <c r="I1" s="177"/>
      <c r="J1" t="s">
        <v>36</v>
      </c>
      <c r="K1" t="s">
        <v>171</v>
      </c>
      <c r="L1" t="s">
        <v>172</v>
      </c>
      <c r="N1" s="79" t="s">
        <v>173</v>
      </c>
    </row>
    <row r="2" spans="1:14">
      <c r="A2" s="177" t="s">
        <v>38</v>
      </c>
      <c r="B2" s="177"/>
      <c r="C2" s="177"/>
      <c r="D2" s="177"/>
      <c r="E2" s="177"/>
      <c r="F2" s="177"/>
      <c r="G2" s="177"/>
      <c r="H2" s="177"/>
      <c r="I2" s="177"/>
      <c r="J2">
        <v>0</v>
      </c>
      <c r="K2">
        <v>0</v>
      </c>
      <c r="L2">
        <f>K2</f>
        <v>0</v>
      </c>
    </row>
    <row r="3" spans="1:14">
      <c r="A3" s="177" t="s">
        <v>174</v>
      </c>
      <c r="B3" s="177"/>
      <c r="C3" s="177"/>
      <c r="D3" s="177"/>
      <c r="E3" s="124" t="s">
        <v>175</v>
      </c>
      <c r="F3" s="124"/>
      <c r="G3" s="124"/>
      <c r="H3" s="124"/>
      <c r="I3" s="124"/>
      <c r="J3" t="e">
        <f>#REF!</f>
        <v>#REF!</v>
      </c>
      <c r="K3" t="e">
        <f>#REF!</f>
        <v>#REF!</v>
      </c>
      <c r="L3" t="e">
        <f>L2+K3</f>
        <v>#REF!</v>
      </c>
      <c r="N3" s="85" t="s">
        <v>176</v>
      </c>
    </row>
    <row r="4" spans="1:14">
      <c r="A4" s="177"/>
      <c r="B4" s="177"/>
      <c r="C4" s="177"/>
      <c r="D4" s="177"/>
      <c r="E4" s="124" t="s">
        <v>46</v>
      </c>
      <c r="F4" s="124"/>
      <c r="G4" s="124"/>
      <c r="H4" s="124"/>
      <c r="I4" s="124"/>
      <c r="J4" t="e">
        <f>#REF!</f>
        <v>#REF!</v>
      </c>
      <c r="K4" t="e">
        <f>#REF!</f>
        <v>#REF!</v>
      </c>
      <c r="L4" t="e">
        <f>L3+K4</f>
        <v>#REF!</v>
      </c>
      <c r="N4" s="85" t="s">
        <v>177</v>
      </c>
    </row>
    <row r="5" spans="1:14">
      <c r="A5" s="177" t="s">
        <v>177</v>
      </c>
      <c r="B5" s="177"/>
      <c r="C5" s="177"/>
      <c r="D5" s="177"/>
      <c r="E5" s="124" t="s">
        <v>175</v>
      </c>
      <c r="F5" s="124"/>
      <c r="G5" s="124"/>
      <c r="H5" s="124"/>
      <c r="I5" s="124"/>
      <c r="J5" t="e">
        <f>#REF!</f>
        <v>#REF!</v>
      </c>
      <c r="K5" t="e">
        <f>#REF!</f>
        <v>#REF!</v>
      </c>
      <c r="L5" t="e">
        <f t="shared" ref="L5:L16" si="0">L4+K5</f>
        <v>#REF!</v>
      </c>
      <c r="N5" s="85" t="s">
        <v>178</v>
      </c>
    </row>
    <row r="6" spans="1:14">
      <c r="A6" s="177"/>
      <c r="B6" s="177"/>
      <c r="C6" s="177"/>
      <c r="D6" s="177"/>
      <c r="E6" s="124" t="s">
        <v>46</v>
      </c>
      <c r="F6" s="124"/>
      <c r="G6" s="124"/>
      <c r="H6" s="124"/>
      <c r="I6" s="124"/>
      <c r="J6" t="e">
        <f>#REF!</f>
        <v>#REF!</v>
      </c>
      <c r="K6" t="e">
        <f>#REF!</f>
        <v>#REF!</v>
      </c>
      <c r="L6" t="e">
        <f t="shared" si="0"/>
        <v>#REF!</v>
      </c>
      <c r="N6" s="85" t="s">
        <v>179</v>
      </c>
    </row>
    <row r="7" spans="1:14">
      <c r="A7" s="177" t="s">
        <v>180</v>
      </c>
      <c r="B7" s="177"/>
      <c r="C7" s="177"/>
      <c r="D7" s="177"/>
      <c r="E7" s="124" t="s">
        <v>175</v>
      </c>
      <c r="F7" s="124"/>
      <c r="G7" s="124"/>
      <c r="H7" s="124"/>
      <c r="I7" s="124"/>
      <c r="J7" t="e">
        <f>#REF!</f>
        <v>#REF!</v>
      </c>
      <c r="K7" t="e">
        <f>#REF!</f>
        <v>#REF!</v>
      </c>
      <c r="L7" t="e">
        <f t="shared" si="0"/>
        <v>#REF!</v>
      </c>
      <c r="N7" s="85" t="s">
        <v>181</v>
      </c>
    </row>
    <row r="8" spans="1:14">
      <c r="A8" s="177"/>
      <c r="B8" s="177"/>
      <c r="C8" s="177"/>
      <c r="D8" s="177"/>
      <c r="E8" s="124" t="s">
        <v>46</v>
      </c>
      <c r="F8" s="124"/>
      <c r="G8" s="124"/>
      <c r="H8" s="124"/>
      <c r="I8" s="124"/>
      <c r="J8" t="e">
        <f>#REF!</f>
        <v>#REF!</v>
      </c>
      <c r="K8" t="e">
        <f>#REF!</f>
        <v>#REF!</v>
      </c>
      <c r="L8" t="e">
        <f t="shared" si="0"/>
        <v>#REF!</v>
      </c>
      <c r="N8" s="85" t="s">
        <v>182</v>
      </c>
    </row>
    <row r="9" spans="1:14">
      <c r="A9" s="177" t="s">
        <v>179</v>
      </c>
      <c r="B9" s="177"/>
      <c r="C9" s="177"/>
      <c r="D9" s="177"/>
      <c r="E9" s="124" t="s">
        <v>175</v>
      </c>
      <c r="F9" s="124"/>
      <c r="G9" s="124"/>
      <c r="H9" s="124"/>
      <c r="I9" s="124"/>
      <c r="J9" t="e">
        <f>#REF!</f>
        <v>#REF!</v>
      </c>
      <c r="K9" t="e">
        <f>#REF!</f>
        <v>#REF!</v>
      </c>
      <c r="L9" t="e">
        <f t="shared" si="0"/>
        <v>#REF!</v>
      </c>
      <c r="N9" s="85" t="s">
        <v>183</v>
      </c>
    </row>
    <row r="10" spans="1:14">
      <c r="A10" s="177"/>
      <c r="B10" s="177"/>
      <c r="C10" s="177"/>
      <c r="D10" s="177"/>
      <c r="E10" s="124" t="s">
        <v>46</v>
      </c>
      <c r="F10" s="124"/>
      <c r="G10" s="124"/>
      <c r="H10" s="124"/>
      <c r="I10" s="124"/>
      <c r="J10" t="e">
        <f>#REF!</f>
        <v>#REF!</v>
      </c>
      <c r="K10" t="e">
        <f>#REF!</f>
        <v>#REF!</v>
      </c>
      <c r="L10" t="e">
        <f t="shared" si="0"/>
        <v>#REF!</v>
      </c>
    </row>
    <row r="11" spans="1:14">
      <c r="A11" s="177" t="s">
        <v>181</v>
      </c>
      <c r="B11" s="177"/>
      <c r="C11" s="177"/>
      <c r="D11" s="177"/>
      <c r="E11" s="124" t="s">
        <v>175</v>
      </c>
      <c r="F11" s="124"/>
      <c r="G11" s="124"/>
      <c r="H11" s="124"/>
      <c r="I11" s="124"/>
      <c r="J11" t="e">
        <f>#REF!</f>
        <v>#REF!</v>
      </c>
      <c r="K11" t="e">
        <f>#REF!</f>
        <v>#REF!</v>
      </c>
      <c r="L11" t="e">
        <f t="shared" si="0"/>
        <v>#REF!</v>
      </c>
    </row>
    <row r="12" spans="1:14">
      <c r="A12" s="177"/>
      <c r="B12" s="177"/>
      <c r="C12" s="177"/>
      <c r="D12" s="177"/>
      <c r="E12" s="124" t="s">
        <v>46</v>
      </c>
      <c r="F12" s="124"/>
      <c r="G12" s="124"/>
      <c r="H12" s="124"/>
      <c r="I12" s="124"/>
      <c r="J12" t="e">
        <f>#REF!</f>
        <v>#REF!</v>
      </c>
      <c r="K12" t="e">
        <f>#REF!</f>
        <v>#REF!</v>
      </c>
      <c r="L12" t="e">
        <f t="shared" si="0"/>
        <v>#REF!</v>
      </c>
    </row>
    <row r="13" spans="1:14">
      <c r="A13" s="177" t="s">
        <v>182</v>
      </c>
      <c r="B13" s="177"/>
      <c r="C13" s="177"/>
      <c r="D13" s="177"/>
      <c r="E13" s="124" t="s">
        <v>175</v>
      </c>
      <c r="F13" s="124"/>
      <c r="G13" s="124"/>
      <c r="H13" s="124"/>
      <c r="I13" s="124"/>
      <c r="J13" t="e">
        <f>#REF!</f>
        <v>#REF!</v>
      </c>
      <c r="K13" t="e">
        <f>#REF!</f>
        <v>#REF!</v>
      </c>
      <c r="L13" t="e">
        <f t="shared" si="0"/>
        <v>#REF!</v>
      </c>
    </row>
    <row r="14" spans="1:14">
      <c r="A14" s="177"/>
      <c r="B14" s="177"/>
      <c r="C14" s="177"/>
      <c r="D14" s="177"/>
      <c r="E14" s="124" t="s">
        <v>46</v>
      </c>
      <c r="F14" s="124"/>
      <c r="G14" s="124"/>
      <c r="H14" s="124"/>
      <c r="I14" s="124"/>
      <c r="J14" t="e">
        <f>#REF!</f>
        <v>#REF!</v>
      </c>
      <c r="K14" t="e">
        <f>#REF!</f>
        <v>#REF!</v>
      </c>
      <c r="L14" t="e">
        <f t="shared" si="0"/>
        <v>#REF!</v>
      </c>
    </row>
    <row r="15" spans="1:14">
      <c r="A15" s="177" t="s">
        <v>183</v>
      </c>
      <c r="B15" s="177"/>
      <c r="C15" s="177"/>
      <c r="D15" s="177"/>
      <c r="E15" s="124" t="s">
        <v>175</v>
      </c>
      <c r="F15" s="124"/>
      <c r="G15" s="124"/>
      <c r="H15" s="124"/>
      <c r="I15" s="124"/>
      <c r="J15" t="e">
        <f>#REF!</f>
        <v>#REF!</v>
      </c>
      <c r="K15" t="e">
        <f>#REF!</f>
        <v>#REF!</v>
      </c>
      <c r="L15" t="e">
        <f t="shared" si="0"/>
        <v>#REF!</v>
      </c>
    </row>
    <row r="16" spans="1:14">
      <c r="A16" s="177"/>
      <c r="B16" s="177"/>
      <c r="C16" s="177"/>
      <c r="D16" s="177"/>
      <c r="E16" s="124" t="s">
        <v>46</v>
      </c>
      <c r="F16" s="124"/>
      <c r="G16" s="124"/>
      <c r="H16" s="124"/>
      <c r="I16" s="124"/>
      <c r="J16" t="e">
        <f>#REF!</f>
        <v>#REF!</v>
      </c>
      <c r="K16" t="e">
        <f>#REF!</f>
        <v>#REF!</v>
      </c>
      <c r="L16" t="e">
        <f t="shared" si="0"/>
        <v>#REF!</v>
      </c>
    </row>
  </sheetData>
  <mergeCells count="23">
    <mergeCell ref="A15:D16"/>
    <mergeCell ref="E15:I15"/>
    <mergeCell ref="E16:I16"/>
    <mergeCell ref="A11:D12"/>
    <mergeCell ref="E11:I11"/>
    <mergeCell ref="E12:I12"/>
    <mergeCell ref="A13:D14"/>
    <mergeCell ref="E13:I13"/>
    <mergeCell ref="E14:I14"/>
    <mergeCell ref="A7:D8"/>
    <mergeCell ref="E7:I7"/>
    <mergeCell ref="E8:I8"/>
    <mergeCell ref="A9:D10"/>
    <mergeCell ref="E9:I9"/>
    <mergeCell ref="E10:I10"/>
    <mergeCell ref="A5:D6"/>
    <mergeCell ref="E5:I5"/>
    <mergeCell ref="E6:I6"/>
    <mergeCell ref="A1:I1"/>
    <mergeCell ref="A2:I2"/>
    <mergeCell ref="A3:D4"/>
    <mergeCell ref="E3:I3"/>
    <mergeCell ref="E4:I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0000000}">
          <x14:formula1>
            <xm:f>'C:\Users\pc1\Desktop\[Leakage Test Sheet.xlsx]Part Number Data'!#REF!</xm:f>
          </x14:formula1>
          <xm:sqref>E4 E6 E8 E10 E12 E14 E16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D05905A3E0F8D544A09AF16254D157BD" ma:contentTypeVersion="20" ma:contentTypeDescription="สร้างเอกสารใหม่" ma:contentTypeScope="" ma:versionID="00816b4e7a4d558ba65f413b9aec4fa8">
  <xsd:schema xmlns:xsd="http://www.w3.org/2001/XMLSchema" xmlns:xs="http://www.w3.org/2001/XMLSchema" xmlns:p="http://schemas.microsoft.com/office/2006/metadata/properties" xmlns:ns2="b3bbc11e-4fb5-4621-843c-15cf5fb29021" xmlns:ns3="bf49118c-070b-4d5d-8853-086408e6e32f" targetNamespace="http://schemas.microsoft.com/office/2006/metadata/properties" ma:root="true" ma:fieldsID="03f62d6152778a95ab7f0827cadef7ea" ns2:_="" ns3:_="">
    <xsd:import namespace="b3bbc11e-4fb5-4621-843c-15cf5fb29021"/>
    <xsd:import namespace="bf49118c-070b-4d5d-8853-086408e6e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Wiphaphon_x002e_k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bc11e-4fb5-4621-843c-15cf5fb29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แท็กรูป" ma:readOnly="false" ma:fieldId="{5cf76f15-5ced-4ddc-b409-7134ff3c332f}" ma:taxonomyMulti="true" ma:sspId="01055d08-3c89-4b2f-bc45-633fdb378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Wiphaphon_x002e_kh" ma:index="27" nillable="true" ma:displayName="Wiphaphon.kh" ma:format="Dropdown" ma:list="UserInfo" ma:SharePointGroup="0" ma:internalName="Wiphaphon_x002e_kh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9118c-070b-4d5d-8853-086408e6e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94dbe9-b6f0-474b-962e-17272332faae}" ma:internalName="TaxCatchAll" ma:showField="CatchAllData" ma:web="bf49118c-070b-4d5d-8853-086408e6e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bbc11e-4fb5-4621-843c-15cf5fb29021">
      <Terms xmlns="http://schemas.microsoft.com/office/infopath/2007/PartnerControls"/>
    </lcf76f155ced4ddcb4097134ff3c332f>
    <TaxCatchAll xmlns="bf49118c-070b-4d5d-8853-086408e6e32f" xsi:nil="true"/>
    <Wiphaphon_x002e_kh xmlns="b3bbc11e-4fb5-4621-843c-15cf5fb29021">
      <UserInfo>
        <DisplayName/>
        <AccountId xsi:nil="true"/>
        <AccountType/>
      </UserInfo>
    </Wiphaphon_x002e_kh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56DB7B6-6350-4A86-BC8B-65ECD8CBA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C634B0-4949-4E0B-B3C8-B0C2A734E4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bbc11e-4fb5-4621-843c-15cf5fb29021"/>
    <ds:schemaRef ds:uri="bf49118c-070b-4d5d-8853-086408e6e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6D557F-2E62-4128-9B9B-39D75D14CA48}">
  <ds:schemaRefs>
    <ds:schemaRef ds:uri="http://schemas.microsoft.com/office/2006/metadata/properties"/>
    <ds:schemaRef ds:uri="http://schemas.microsoft.com/office/infopath/2007/PartnerControls"/>
    <ds:schemaRef ds:uri="b3bbc11e-4fb5-4621-843c-15cf5fb29021"/>
    <ds:schemaRef ds:uri="bf49118c-070b-4d5d-8853-086408e6e32f"/>
  </ds:schemaRefs>
</ds:datastoreItem>
</file>

<file path=customXml/itemProps4.xml><?xml version="1.0" encoding="utf-8"?>
<ds:datastoreItem xmlns:ds="http://schemas.openxmlformats.org/officeDocument/2006/customXml" ds:itemID="{704B4E37-2DF1-4957-B296-E660EE6518C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Pressure &amp; Leakage Test</vt:lpstr>
      <vt:lpstr>Part Number Data</vt:lpstr>
      <vt:lpstr>Cal Sheet</vt:lpstr>
    </vt:vector>
  </TitlesOfParts>
  <Manager/>
  <Company>OVERSEAS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K.SAKSIT</dc:creator>
  <cp:keywords/>
  <dc:description/>
  <cp:lastModifiedBy>Wiphaphon Khotmi</cp:lastModifiedBy>
  <cp:revision/>
  <cp:lastPrinted>2026-05-06T03:23:35Z</cp:lastPrinted>
  <dcterms:created xsi:type="dcterms:W3CDTF">2010-03-08T04:27:59Z</dcterms:created>
  <dcterms:modified xsi:type="dcterms:W3CDTF">2026-05-06T06:38:57Z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Name">
    <vt:lpwstr>DAR</vt:lpwstr>
  </property>
  <property fmtid="{D5CDD505-2E9C-101B-9397-08002B2CF9AE}" pid="3" name="ContentTypeId">
    <vt:lpwstr>0x010100D05905A3E0F8D544A09AF16254D157BD</vt:lpwstr>
  </property>
  <property fmtid="{D5CDD505-2E9C-101B-9397-08002B2CF9AE}" pid="4" name="MediaServiceImageTags">
    <vt:lpwstr/>
  </property>
</Properties>
</file>